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858a7b83420bc244/Documents/inversiones helps/"/>
    </mc:Choice>
  </mc:AlternateContent>
  <xr:revisionPtr revIDLastSave="1" documentId="11_B16FBD90CB9A5F160F1D406A9CAA24C7B5FE52EF" xr6:coauthVersionLast="47" xr6:coauthVersionMax="47" xr10:uidLastSave="{9B841373-74D5-4E7E-AB1B-DE1ADCF10E87}"/>
  <bookViews>
    <workbookView xWindow="-108" yWindow="-108" windowWidth="23256" windowHeight="12456" firstSheet="1" activeTab="1" xr2:uid="{00000000-000D-0000-FFFF-FFFF00000000}"/>
  </bookViews>
  <sheets>
    <sheet name="Guía de uso" sheetId="1" r:id="rId1"/>
    <sheet name="Resumen" sheetId="2" r:id="rId2"/>
    <sheet name="Activos" sheetId="3" r:id="rId3"/>
    <sheet name="Aportes" sheetId="4" r:id="rId4"/>
    <sheet name="Transacciones" sheetId="5" r:id="rId5"/>
    <sheet name="Referidos" sheetId="6" r:id="rId6"/>
    <sheet name="Dividendos" sheetId="7" r:id="rId7"/>
    <sheet name="Precios" sheetId="8" r:id="rId8"/>
    <sheet name="Posiciones" sheetId="9" r:id="rId9"/>
    <sheet name="Rendimiento" sheetId="10" r:id="rId10"/>
  </sheets>
  <definedNames>
    <definedName name="_xlnm._FilterDatabase" localSheetId="2" hidden="1">Activos!$A$4:$G$104</definedName>
    <definedName name="_xlnm._FilterDatabase" localSheetId="3" hidden="1">Aportes!$A$4:$F$204</definedName>
    <definedName name="_xlnm._FilterDatabase" localSheetId="6" hidden="1">Dividendos!$A$4:$I$204</definedName>
    <definedName name="_xlnm._FilterDatabase" localSheetId="0" hidden="1">'Guía de uso'!$A$4:$F$80</definedName>
    <definedName name="_xlnm._FilterDatabase" localSheetId="8" hidden="1">Posiciones!$A$4:$U$104</definedName>
    <definedName name="_xlnm._FilterDatabase" localSheetId="7" hidden="1">Precios!$A$4:$E$2004</definedName>
    <definedName name="_xlnm._FilterDatabase" localSheetId="5" hidden="1">Referidos!$A$4:$L$204</definedName>
    <definedName name="_xlnm._FilterDatabase" localSheetId="9" hidden="1">Rendimiento!$A$4:$L$504</definedName>
    <definedName name="_xlnm._FilterDatabase" localSheetId="4" hidden="1">Transacciones!$A$4:$J$1004</definedName>
    <definedName name="ListaActivos">Activos!$A$5:$A$104</definedName>
  </definedName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04" i="10" l="1"/>
  <c r="K504" i="10" s="1"/>
  <c r="J503" i="10"/>
  <c r="K503" i="10" s="1"/>
  <c r="J502" i="10"/>
  <c r="K502" i="10" s="1"/>
  <c r="J501" i="10"/>
  <c r="K501" i="10" s="1"/>
  <c r="J500" i="10"/>
  <c r="K500" i="10" s="1"/>
  <c r="J499" i="10"/>
  <c r="K499" i="10" s="1"/>
  <c r="J498" i="10"/>
  <c r="K498" i="10" s="1"/>
  <c r="J497" i="10"/>
  <c r="K497" i="10" s="1"/>
  <c r="J496" i="10"/>
  <c r="K496" i="10" s="1"/>
  <c r="J495" i="10"/>
  <c r="K495" i="10" s="1"/>
  <c r="J494" i="10"/>
  <c r="K494" i="10" s="1"/>
  <c r="J493" i="10"/>
  <c r="K493" i="10" s="1"/>
  <c r="J492" i="10"/>
  <c r="K492" i="10" s="1"/>
  <c r="J491" i="10"/>
  <c r="K491" i="10" s="1"/>
  <c r="J490" i="10"/>
  <c r="K490" i="10" s="1"/>
  <c r="J489" i="10"/>
  <c r="K489" i="10" s="1"/>
  <c r="J488" i="10"/>
  <c r="K488" i="10" s="1"/>
  <c r="J487" i="10"/>
  <c r="K487" i="10" s="1"/>
  <c r="J486" i="10"/>
  <c r="K486" i="10" s="1"/>
  <c r="J485" i="10"/>
  <c r="K485" i="10" s="1"/>
  <c r="J484" i="10"/>
  <c r="K484" i="10" s="1"/>
  <c r="K483" i="10"/>
  <c r="J483" i="10"/>
  <c r="J482" i="10"/>
  <c r="K482" i="10" s="1"/>
  <c r="J481" i="10"/>
  <c r="K481" i="10" s="1"/>
  <c r="J480" i="10"/>
  <c r="K480" i="10" s="1"/>
  <c r="J479" i="10"/>
  <c r="K479" i="10" s="1"/>
  <c r="J478" i="10"/>
  <c r="K478" i="10" s="1"/>
  <c r="J477" i="10"/>
  <c r="K477" i="10" s="1"/>
  <c r="J476" i="10"/>
  <c r="K476" i="10" s="1"/>
  <c r="J475" i="10"/>
  <c r="K475" i="10" s="1"/>
  <c r="J474" i="10"/>
  <c r="K474" i="10" s="1"/>
  <c r="J473" i="10"/>
  <c r="K473" i="10" s="1"/>
  <c r="J472" i="10"/>
  <c r="K472" i="10" s="1"/>
  <c r="J471" i="10"/>
  <c r="K471" i="10" s="1"/>
  <c r="J470" i="10"/>
  <c r="K470" i="10" s="1"/>
  <c r="J469" i="10"/>
  <c r="K469" i="10" s="1"/>
  <c r="J468" i="10"/>
  <c r="K468" i="10" s="1"/>
  <c r="J467" i="10"/>
  <c r="K467" i="10" s="1"/>
  <c r="J466" i="10"/>
  <c r="K466" i="10" s="1"/>
  <c r="J465" i="10"/>
  <c r="K465" i="10" s="1"/>
  <c r="J464" i="10"/>
  <c r="K464" i="10" s="1"/>
  <c r="J463" i="10"/>
  <c r="K463" i="10" s="1"/>
  <c r="J462" i="10"/>
  <c r="K462" i="10" s="1"/>
  <c r="J461" i="10"/>
  <c r="K461" i="10" s="1"/>
  <c r="J460" i="10"/>
  <c r="K460" i="10" s="1"/>
  <c r="J459" i="10"/>
  <c r="K459" i="10" s="1"/>
  <c r="J458" i="10"/>
  <c r="K458" i="10" s="1"/>
  <c r="J457" i="10"/>
  <c r="K457" i="10" s="1"/>
  <c r="J456" i="10"/>
  <c r="K456" i="10" s="1"/>
  <c r="J455" i="10"/>
  <c r="K455" i="10" s="1"/>
  <c r="J454" i="10"/>
  <c r="K454" i="10" s="1"/>
  <c r="K453" i="10"/>
  <c r="J453" i="10"/>
  <c r="J452" i="10"/>
  <c r="K452" i="10" s="1"/>
  <c r="J451" i="10"/>
  <c r="K451" i="10" s="1"/>
  <c r="J450" i="10"/>
  <c r="K450" i="10" s="1"/>
  <c r="K449" i="10"/>
  <c r="J449" i="10"/>
  <c r="J448" i="10"/>
  <c r="K448" i="10" s="1"/>
  <c r="J447" i="10"/>
  <c r="K447" i="10" s="1"/>
  <c r="J446" i="10"/>
  <c r="K446" i="10" s="1"/>
  <c r="J445" i="10"/>
  <c r="K445" i="10" s="1"/>
  <c r="J444" i="10"/>
  <c r="K444" i="10" s="1"/>
  <c r="J443" i="10"/>
  <c r="K443" i="10" s="1"/>
  <c r="J442" i="10"/>
  <c r="K442" i="10" s="1"/>
  <c r="J441" i="10"/>
  <c r="K441" i="10" s="1"/>
  <c r="J440" i="10"/>
  <c r="K440" i="10" s="1"/>
  <c r="J439" i="10"/>
  <c r="K439" i="10" s="1"/>
  <c r="J438" i="10"/>
  <c r="K438" i="10" s="1"/>
  <c r="J437" i="10"/>
  <c r="K437" i="10" s="1"/>
  <c r="J436" i="10"/>
  <c r="K436" i="10" s="1"/>
  <c r="J435" i="10"/>
  <c r="K435" i="10" s="1"/>
  <c r="J434" i="10"/>
  <c r="K434" i="10" s="1"/>
  <c r="J433" i="10"/>
  <c r="K433" i="10" s="1"/>
  <c r="J432" i="10"/>
  <c r="K432" i="10" s="1"/>
  <c r="J431" i="10"/>
  <c r="K431" i="10" s="1"/>
  <c r="J430" i="10"/>
  <c r="K430" i="10" s="1"/>
  <c r="J429" i="10"/>
  <c r="K429" i="10" s="1"/>
  <c r="J428" i="10"/>
  <c r="K428" i="10" s="1"/>
  <c r="J427" i="10"/>
  <c r="K427" i="10" s="1"/>
  <c r="K426" i="10"/>
  <c r="J426" i="10"/>
  <c r="J425" i="10"/>
  <c r="K425" i="10" s="1"/>
  <c r="J424" i="10"/>
  <c r="K424" i="10" s="1"/>
  <c r="J423" i="10"/>
  <c r="K423" i="10" s="1"/>
  <c r="J422" i="10"/>
  <c r="K422" i="10" s="1"/>
  <c r="J421" i="10"/>
  <c r="K421" i="10" s="1"/>
  <c r="J420" i="10"/>
  <c r="K420" i="10" s="1"/>
  <c r="J419" i="10"/>
  <c r="K419" i="10" s="1"/>
  <c r="J418" i="10"/>
  <c r="K418" i="10" s="1"/>
  <c r="J417" i="10"/>
  <c r="K417" i="10" s="1"/>
  <c r="J416" i="10"/>
  <c r="K416" i="10" s="1"/>
  <c r="J415" i="10"/>
  <c r="K415" i="10" s="1"/>
  <c r="J414" i="10"/>
  <c r="K414" i="10" s="1"/>
  <c r="J413" i="10"/>
  <c r="K413" i="10" s="1"/>
  <c r="J412" i="10"/>
  <c r="K412" i="10" s="1"/>
  <c r="J411" i="10"/>
  <c r="K411" i="10" s="1"/>
  <c r="J410" i="10"/>
  <c r="K410" i="10" s="1"/>
  <c r="J409" i="10"/>
  <c r="K409" i="10" s="1"/>
  <c r="J408" i="10"/>
  <c r="K408" i="10" s="1"/>
  <c r="J407" i="10"/>
  <c r="K407" i="10" s="1"/>
  <c r="J406" i="10"/>
  <c r="K406" i="10" s="1"/>
  <c r="J405" i="10"/>
  <c r="K405" i="10" s="1"/>
  <c r="J404" i="10"/>
  <c r="K404" i="10" s="1"/>
  <c r="J403" i="10"/>
  <c r="K403" i="10" s="1"/>
  <c r="J402" i="10"/>
  <c r="K402" i="10" s="1"/>
  <c r="J401" i="10"/>
  <c r="K401" i="10" s="1"/>
  <c r="J400" i="10"/>
  <c r="K400" i="10" s="1"/>
  <c r="J399" i="10"/>
  <c r="K399" i="10" s="1"/>
  <c r="J398" i="10"/>
  <c r="K398" i="10" s="1"/>
  <c r="J397" i="10"/>
  <c r="K397" i="10" s="1"/>
  <c r="K396" i="10"/>
  <c r="J396" i="10"/>
  <c r="J395" i="10"/>
  <c r="K395" i="10" s="1"/>
  <c r="J394" i="10"/>
  <c r="K394" i="10" s="1"/>
  <c r="J393" i="10"/>
  <c r="K393" i="10" s="1"/>
  <c r="J392" i="10"/>
  <c r="K392" i="10" s="1"/>
  <c r="J391" i="10"/>
  <c r="K391" i="10" s="1"/>
  <c r="J390" i="10"/>
  <c r="K390" i="10" s="1"/>
  <c r="J389" i="10"/>
  <c r="K389" i="10" s="1"/>
  <c r="J388" i="10"/>
  <c r="K388" i="10" s="1"/>
  <c r="J387" i="10"/>
  <c r="K387" i="10" s="1"/>
  <c r="J386" i="10"/>
  <c r="K386" i="10" s="1"/>
  <c r="J385" i="10"/>
  <c r="K385" i="10" s="1"/>
  <c r="J384" i="10"/>
  <c r="K384" i="10" s="1"/>
  <c r="J383" i="10"/>
  <c r="K383" i="10" s="1"/>
  <c r="J382" i="10"/>
  <c r="K382" i="10" s="1"/>
  <c r="J381" i="10"/>
  <c r="K381" i="10" s="1"/>
  <c r="J380" i="10"/>
  <c r="K380" i="10" s="1"/>
  <c r="J379" i="10"/>
  <c r="K379" i="10" s="1"/>
  <c r="J378" i="10"/>
  <c r="K378" i="10" s="1"/>
  <c r="K377" i="10"/>
  <c r="J377" i="10"/>
  <c r="J376" i="10"/>
  <c r="K376" i="10" s="1"/>
  <c r="J375" i="10"/>
  <c r="K375" i="10" s="1"/>
  <c r="J374" i="10"/>
  <c r="K374" i="10" s="1"/>
  <c r="J373" i="10"/>
  <c r="K373" i="10" s="1"/>
  <c r="J372" i="10"/>
  <c r="K372" i="10" s="1"/>
  <c r="J371" i="10"/>
  <c r="K371" i="10" s="1"/>
  <c r="J370" i="10"/>
  <c r="K370" i="10" s="1"/>
  <c r="J369" i="10"/>
  <c r="K369" i="10" s="1"/>
  <c r="K368" i="10"/>
  <c r="J368" i="10"/>
  <c r="J367" i="10"/>
  <c r="K367" i="10" s="1"/>
  <c r="J366" i="10"/>
  <c r="K366" i="10" s="1"/>
  <c r="J365" i="10"/>
  <c r="K365" i="10" s="1"/>
  <c r="J364" i="10"/>
  <c r="K364" i="10" s="1"/>
  <c r="J363" i="10"/>
  <c r="K363" i="10" s="1"/>
  <c r="J362" i="10"/>
  <c r="K362" i="10" s="1"/>
  <c r="J361" i="10"/>
  <c r="K361" i="10" s="1"/>
  <c r="J360" i="10"/>
  <c r="K360" i="10" s="1"/>
  <c r="J359" i="10"/>
  <c r="K359" i="10" s="1"/>
  <c r="J358" i="10"/>
  <c r="K358" i="10" s="1"/>
  <c r="J357" i="10"/>
  <c r="K357" i="10" s="1"/>
  <c r="J356" i="10"/>
  <c r="K356" i="10" s="1"/>
  <c r="J355" i="10"/>
  <c r="K355" i="10" s="1"/>
  <c r="K354" i="10"/>
  <c r="J354" i="10"/>
  <c r="J353" i="10"/>
  <c r="K353" i="10" s="1"/>
  <c r="J352" i="10"/>
  <c r="K352" i="10" s="1"/>
  <c r="J351" i="10"/>
  <c r="K351" i="10" s="1"/>
  <c r="J350" i="10"/>
  <c r="K350" i="10" s="1"/>
  <c r="J349" i="10"/>
  <c r="K349" i="10" s="1"/>
  <c r="J348" i="10"/>
  <c r="K348" i="10" s="1"/>
  <c r="J347" i="10"/>
  <c r="K347" i="10" s="1"/>
  <c r="J346" i="10"/>
  <c r="K346" i="10" s="1"/>
  <c r="J345" i="10"/>
  <c r="K345" i="10" s="1"/>
  <c r="J344" i="10"/>
  <c r="K344" i="10" s="1"/>
  <c r="J343" i="10"/>
  <c r="K343" i="10" s="1"/>
  <c r="K342" i="10"/>
  <c r="J342" i="10"/>
  <c r="J341" i="10"/>
  <c r="K341" i="10" s="1"/>
  <c r="J340" i="10"/>
  <c r="K340" i="10" s="1"/>
  <c r="J339" i="10"/>
  <c r="K339" i="10" s="1"/>
  <c r="J338" i="10"/>
  <c r="K338" i="10" s="1"/>
  <c r="J337" i="10"/>
  <c r="K337" i="10" s="1"/>
  <c r="K336" i="10"/>
  <c r="J336" i="10"/>
  <c r="J335" i="10"/>
  <c r="K335" i="10" s="1"/>
  <c r="J334" i="10"/>
  <c r="K334" i="10" s="1"/>
  <c r="K333" i="10"/>
  <c r="J333" i="10"/>
  <c r="J332" i="10"/>
  <c r="K332" i="10" s="1"/>
  <c r="J331" i="10"/>
  <c r="K331" i="10" s="1"/>
  <c r="J330" i="10"/>
  <c r="K330" i="10" s="1"/>
  <c r="J329" i="10"/>
  <c r="K329" i="10" s="1"/>
  <c r="J328" i="10"/>
  <c r="K328" i="10" s="1"/>
  <c r="J327" i="10"/>
  <c r="K327" i="10" s="1"/>
  <c r="J326" i="10"/>
  <c r="K326" i="10" s="1"/>
  <c r="J325" i="10"/>
  <c r="K325" i="10" s="1"/>
  <c r="J324" i="10"/>
  <c r="K324" i="10" s="1"/>
  <c r="J323" i="10"/>
  <c r="K323" i="10" s="1"/>
  <c r="J322" i="10"/>
  <c r="K322" i="10" s="1"/>
  <c r="J321" i="10"/>
  <c r="K321" i="10" s="1"/>
  <c r="J320" i="10"/>
  <c r="K320" i="10" s="1"/>
  <c r="J319" i="10"/>
  <c r="K319" i="10" s="1"/>
  <c r="J318" i="10"/>
  <c r="K318" i="10" s="1"/>
  <c r="J317" i="10"/>
  <c r="K317" i="10" s="1"/>
  <c r="J316" i="10"/>
  <c r="K316" i="10" s="1"/>
  <c r="J315" i="10"/>
  <c r="K315" i="10" s="1"/>
  <c r="J314" i="10"/>
  <c r="K314" i="10" s="1"/>
  <c r="J313" i="10"/>
  <c r="K313" i="10" s="1"/>
  <c r="J312" i="10"/>
  <c r="K312" i="10" s="1"/>
  <c r="J311" i="10"/>
  <c r="K311" i="10" s="1"/>
  <c r="J310" i="10"/>
  <c r="K310" i="10" s="1"/>
  <c r="J309" i="10"/>
  <c r="K309" i="10" s="1"/>
  <c r="J308" i="10"/>
  <c r="K308" i="10" s="1"/>
  <c r="J307" i="10"/>
  <c r="K307" i="10" s="1"/>
  <c r="J306" i="10"/>
  <c r="K306" i="10" s="1"/>
  <c r="J305" i="10"/>
  <c r="K305" i="10" s="1"/>
  <c r="J304" i="10"/>
  <c r="K304" i="10" s="1"/>
  <c r="J303" i="10"/>
  <c r="K303" i="10" s="1"/>
  <c r="J302" i="10"/>
  <c r="K302" i="10" s="1"/>
  <c r="J301" i="10"/>
  <c r="K301" i="10" s="1"/>
  <c r="J300" i="10"/>
  <c r="K300" i="10" s="1"/>
  <c r="J299" i="10"/>
  <c r="K299" i="10" s="1"/>
  <c r="J298" i="10"/>
  <c r="K298" i="10" s="1"/>
  <c r="J297" i="10"/>
  <c r="K297" i="10" s="1"/>
  <c r="J296" i="10"/>
  <c r="K296" i="10" s="1"/>
  <c r="J295" i="10"/>
  <c r="K295" i="10" s="1"/>
  <c r="K294" i="10"/>
  <c r="J294" i="10"/>
  <c r="J293" i="10"/>
  <c r="K293" i="10" s="1"/>
  <c r="K292" i="10"/>
  <c r="J292" i="10"/>
  <c r="J291" i="10"/>
  <c r="K291" i="10" s="1"/>
  <c r="J290" i="10"/>
  <c r="K290" i="10" s="1"/>
  <c r="J289" i="10"/>
  <c r="K289" i="10" s="1"/>
  <c r="J288" i="10"/>
  <c r="K288" i="10" s="1"/>
  <c r="J287" i="10"/>
  <c r="K287" i="10" s="1"/>
  <c r="J286" i="10"/>
  <c r="K286" i="10" s="1"/>
  <c r="J285" i="10"/>
  <c r="K285" i="10" s="1"/>
  <c r="J284" i="10"/>
  <c r="K284" i="10" s="1"/>
  <c r="J283" i="10"/>
  <c r="K283" i="10" s="1"/>
  <c r="J282" i="10"/>
  <c r="K282" i="10" s="1"/>
  <c r="K281" i="10"/>
  <c r="J281" i="10"/>
  <c r="J280" i="10"/>
  <c r="K280" i="10" s="1"/>
  <c r="J279" i="10"/>
  <c r="K279" i="10" s="1"/>
  <c r="J278" i="10"/>
  <c r="K278" i="10" s="1"/>
  <c r="J277" i="10"/>
  <c r="K277" i="10" s="1"/>
  <c r="J276" i="10"/>
  <c r="K276" i="10" s="1"/>
  <c r="J275" i="10"/>
  <c r="K275" i="10" s="1"/>
  <c r="J274" i="10"/>
  <c r="K274" i="10" s="1"/>
  <c r="J273" i="10"/>
  <c r="K273" i="10" s="1"/>
  <c r="J272" i="10"/>
  <c r="K272" i="10" s="1"/>
  <c r="J271" i="10"/>
  <c r="K271" i="10" s="1"/>
  <c r="J270" i="10"/>
  <c r="K270" i="10" s="1"/>
  <c r="J269" i="10"/>
  <c r="K269" i="10" s="1"/>
  <c r="J268" i="10"/>
  <c r="K268" i="10" s="1"/>
  <c r="J267" i="10"/>
  <c r="K267" i="10" s="1"/>
  <c r="J266" i="10"/>
  <c r="K266" i="10" s="1"/>
  <c r="J265" i="10"/>
  <c r="K265" i="10" s="1"/>
  <c r="J264" i="10"/>
  <c r="K264" i="10" s="1"/>
  <c r="J263" i="10"/>
  <c r="K263" i="10" s="1"/>
  <c r="J262" i="10"/>
  <c r="K262" i="10" s="1"/>
  <c r="J261" i="10"/>
  <c r="K261" i="10" s="1"/>
  <c r="J260" i="10"/>
  <c r="K260" i="10" s="1"/>
  <c r="J259" i="10"/>
  <c r="K259" i="10" s="1"/>
  <c r="J258" i="10"/>
  <c r="K258" i="10" s="1"/>
  <c r="J257" i="10"/>
  <c r="K257" i="10" s="1"/>
  <c r="K256" i="10"/>
  <c r="J256" i="10"/>
  <c r="J255" i="10"/>
  <c r="K255" i="10" s="1"/>
  <c r="J254" i="10"/>
  <c r="K254" i="10" s="1"/>
  <c r="J253" i="10"/>
  <c r="K253" i="10" s="1"/>
  <c r="J252" i="10"/>
  <c r="K252" i="10" s="1"/>
  <c r="J251" i="10"/>
  <c r="K251" i="10" s="1"/>
  <c r="J250" i="10"/>
  <c r="K250" i="10" s="1"/>
  <c r="J249" i="10"/>
  <c r="K249" i="10" s="1"/>
  <c r="J248" i="10"/>
  <c r="K248" i="10" s="1"/>
  <c r="J247" i="10"/>
  <c r="K247" i="10" s="1"/>
  <c r="J246" i="10"/>
  <c r="K246" i="10" s="1"/>
  <c r="J245" i="10"/>
  <c r="K245" i="10" s="1"/>
  <c r="J244" i="10"/>
  <c r="K244" i="10" s="1"/>
  <c r="J243" i="10"/>
  <c r="K243" i="10" s="1"/>
  <c r="J242" i="10"/>
  <c r="K242" i="10" s="1"/>
  <c r="J241" i="10"/>
  <c r="K241" i="10" s="1"/>
  <c r="J240" i="10"/>
  <c r="K240" i="10" s="1"/>
  <c r="J239" i="10"/>
  <c r="K239" i="10" s="1"/>
  <c r="J238" i="10"/>
  <c r="K238" i="10" s="1"/>
  <c r="J237" i="10"/>
  <c r="K237" i="10" s="1"/>
  <c r="J236" i="10"/>
  <c r="K236" i="10" s="1"/>
  <c r="J235" i="10"/>
  <c r="K235" i="10" s="1"/>
  <c r="J234" i="10"/>
  <c r="K234" i="10" s="1"/>
  <c r="J233" i="10"/>
  <c r="K233" i="10" s="1"/>
  <c r="K232" i="10"/>
  <c r="J232" i="10"/>
  <c r="J231" i="10"/>
  <c r="K231" i="10" s="1"/>
  <c r="J230" i="10"/>
  <c r="K230" i="10" s="1"/>
  <c r="J229" i="10"/>
  <c r="K229" i="10" s="1"/>
  <c r="J228" i="10"/>
  <c r="K228" i="10" s="1"/>
  <c r="J227" i="10"/>
  <c r="K227" i="10" s="1"/>
  <c r="J226" i="10"/>
  <c r="K226" i="10" s="1"/>
  <c r="K225" i="10"/>
  <c r="J225" i="10"/>
  <c r="J224" i="10"/>
  <c r="K224" i="10" s="1"/>
  <c r="J223" i="10"/>
  <c r="K223" i="10" s="1"/>
  <c r="J222" i="10"/>
  <c r="K222" i="10" s="1"/>
  <c r="J221" i="10"/>
  <c r="K221" i="10" s="1"/>
  <c r="J220" i="10"/>
  <c r="K220" i="10" s="1"/>
  <c r="J219" i="10"/>
  <c r="K219" i="10" s="1"/>
  <c r="J218" i="10"/>
  <c r="K218" i="10" s="1"/>
  <c r="J217" i="10"/>
  <c r="K217" i="10" s="1"/>
  <c r="J216" i="10"/>
  <c r="K216" i="10" s="1"/>
  <c r="K215" i="10"/>
  <c r="J215" i="10"/>
  <c r="J214" i="10"/>
  <c r="K214" i="10" s="1"/>
  <c r="J213" i="10"/>
  <c r="K213" i="10" s="1"/>
  <c r="J212" i="10"/>
  <c r="K212" i="10" s="1"/>
  <c r="J211" i="10"/>
  <c r="K211" i="10" s="1"/>
  <c r="J210" i="10"/>
  <c r="K210" i="10" s="1"/>
  <c r="J209" i="10"/>
  <c r="K209" i="10" s="1"/>
  <c r="J208" i="10"/>
  <c r="K208" i="10" s="1"/>
  <c r="J207" i="10"/>
  <c r="K207" i="10" s="1"/>
  <c r="J206" i="10"/>
  <c r="K206" i="10" s="1"/>
  <c r="J205" i="10"/>
  <c r="K205" i="10" s="1"/>
  <c r="J204" i="10"/>
  <c r="K204" i="10" s="1"/>
  <c r="J203" i="10"/>
  <c r="K203" i="10" s="1"/>
  <c r="J202" i="10"/>
  <c r="K202" i="10" s="1"/>
  <c r="J201" i="10"/>
  <c r="K201" i="10" s="1"/>
  <c r="J200" i="10"/>
  <c r="K200" i="10" s="1"/>
  <c r="J199" i="10"/>
  <c r="K199" i="10" s="1"/>
  <c r="J198" i="10"/>
  <c r="K198" i="10" s="1"/>
  <c r="J197" i="10"/>
  <c r="K197" i="10" s="1"/>
  <c r="K196" i="10"/>
  <c r="J196" i="10"/>
  <c r="J195" i="10"/>
  <c r="K195" i="10" s="1"/>
  <c r="J194" i="10"/>
  <c r="K194" i="10" s="1"/>
  <c r="J193" i="10"/>
  <c r="K193" i="10" s="1"/>
  <c r="J192" i="10"/>
  <c r="K192" i="10" s="1"/>
  <c r="J191" i="10"/>
  <c r="K191" i="10" s="1"/>
  <c r="J190" i="10"/>
  <c r="K190" i="10" s="1"/>
  <c r="J189" i="10"/>
  <c r="K189" i="10" s="1"/>
  <c r="J188" i="10"/>
  <c r="K188" i="10" s="1"/>
  <c r="J187" i="10"/>
  <c r="K187" i="10" s="1"/>
  <c r="J186" i="10"/>
  <c r="K186" i="10" s="1"/>
  <c r="K185" i="10"/>
  <c r="J185" i="10"/>
  <c r="J184" i="10"/>
  <c r="K184" i="10" s="1"/>
  <c r="J183" i="10"/>
  <c r="K183" i="10" s="1"/>
  <c r="J182" i="10"/>
  <c r="K182" i="10" s="1"/>
  <c r="J181" i="10"/>
  <c r="K181" i="10" s="1"/>
  <c r="J180" i="10"/>
  <c r="K180" i="10" s="1"/>
  <c r="J179" i="10"/>
  <c r="K179" i="10" s="1"/>
  <c r="J178" i="10"/>
  <c r="K178" i="10" s="1"/>
  <c r="J177" i="10"/>
  <c r="K177" i="10" s="1"/>
  <c r="J176" i="10"/>
  <c r="K176" i="10" s="1"/>
  <c r="J175" i="10"/>
  <c r="K175" i="10" s="1"/>
  <c r="J174" i="10"/>
  <c r="K174" i="10" s="1"/>
  <c r="J173" i="10"/>
  <c r="K173" i="10" s="1"/>
  <c r="J172" i="10"/>
  <c r="K172" i="10" s="1"/>
  <c r="J171" i="10"/>
  <c r="K171" i="10" s="1"/>
  <c r="J170" i="10"/>
  <c r="K170" i="10" s="1"/>
  <c r="J169" i="10"/>
  <c r="K169" i="10" s="1"/>
  <c r="J168" i="10"/>
  <c r="K168" i="10" s="1"/>
  <c r="J167" i="10"/>
  <c r="K167" i="10" s="1"/>
  <c r="J166" i="10"/>
  <c r="K166" i="10" s="1"/>
  <c r="J165" i="10"/>
  <c r="K165" i="10" s="1"/>
  <c r="J164" i="10"/>
  <c r="K164" i="10" s="1"/>
  <c r="J163" i="10"/>
  <c r="K163" i="10" s="1"/>
  <c r="J162" i="10"/>
  <c r="K162" i="10" s="1"/>
  <c r="J161" i="10"/>
  <c r="K161" i="10" s="1"/>
  <c r="J160" i="10"/>
  <c r="K160" i="10" s="1"/>
  <c r="J159" i="10"/>
  <c r="K159" i="10" s="1"/>
  <c r="J158" i="10"/>
  <c r="K158" i="10" s="1"/>
  <c r="J157" i="10"/>
  <c r="K157" i="10" s="1"/>
  <c r="J156" i="10"/>
  <c r="K156" i="10" s="1"/>
  <c r="J155" i="10"/>
  <c r="K155" i="10" s="1"/>
  <c r="J154" i="10"/>
  <c r="K154" i="10" s="1"/>
  <c r="J153" i="10"/>
  <c r="K153" i="10" s="1"/>
  <c r="J152" i="10"/>
  <c r="K152" i="10" s="1"/>
  <c r="J151" i="10"/>
  <c r="K151" i="10" s="1"/>
  <c r="K150" i="10"/>
  <c r="J150" i="10"/>
  <c r="J149" i="10"/>
  <c r="K149" i="10" s="1"/>
  <c r="J148" i="10"/>
  <c r="K148" i="10" s="1"/>
  <c r="J147" i="10"/>
  <c r="K147" i="10" s="1"/>
  <c r="J146" i="10"/>
  <c r="K146" i="10" s="1"/>
  <c r="J145" i="10"/>
  <c r="K145" i="10" s="1"/>
  <c r="J144" i="10"/>
  <c r="K144" i="10" s="1"/>
  <c r="J143" i="10"/>
  <c r="K143" i="10" s="1"/>
  <c r="J142" i="10"/>
  <c r="K142" i="10" s="1"/>
  <c r="J141" i="10"/>
  <c r="K141" i="10" s="1"/>
  <c r="J140" i="10"/>
  <c r="K140" i="10" s="1"/>
  <c r="J139" i="10"/>
  <c r="K139" i="10" s="1"/>
  <c r="K138" i="10"/>
  <c r="J138" i="10"/>
  <c r="J137" i="10"/>
  <c r="K137" i="10" s="1"/>
  <c r="J136" i="10"/>
  <c r="K136" i="10" s="1"/>
  <c r="J135" i="10"/>
  <c r="K135" i="10" s="1"/>
  <c r="J134" i="10"/>
  <c r="K134" i="10" s="1"/>
  <c r="J133" i="10"/>
  <c r="K133" i="10" s="1"/>
  <c r="J132" i="10"/>
  <c r="K132" i="10" s="1"/>
  <c r="J131" i="10"/>
  <c r="K131" i="10" s="1"/>
  <c r="J130" i="10"/>
  <c r="K130" i="10" s="1"/>
  <c r="J129" i="10"/>
  <c r="K129" i="10" s="1"/>
  <c r="J128" i="10"/>
  <c r="K128" i="10" s="1"/>
  <c r="J127" i="10"/>
  <c r="K127" i="10" s="1"/>
  <c r="J126" i="10"/>
  <c r="K126" i="10" s="1"/>
  <c r="J125" i="10"/>
  <c r="K125" i="10" s="1"/>
  <c r="J124" i="10"/>
  <c r="K124" i="10" s="1"/>
  <c r="J123" i="10"/>
  <c r="K123" i="10" s="1"/>
  <c r="K122" i="10"/>
  <c r="J122" i="10"/>
  <c r="J121" i="10"/>
  <c r="K121" i="10" s="1"/>
  <c r="J120" i="10"/>
  <c r="K120" i="10" s="1"/>
  <c r="J119" i="10"/>
  <c r="K119" i="10" s="1"/>
  <c r="J118" i="10"/>
  <c r="K118" i="10" s="1"/>
  <c r="J117" i="10"/>
  <c r="K117" i="10" s="1"/>
  <c r="J116" i="10"/>
  <c r="K116" i="10" s="1"/>
  <c r="J115" i="10"/>
  <c r="K115" i="10" s="1"/>
  <c r="J114" i="10"/>
  <c r="K114" i="10" s="1"/>
  <c r="J113" i="10"/>
  <c r="K113" i="10" s="1"/>
  <c r="J112" i="10"/>
  <c r="K112" i="10" s="1"/>
  <c r="J111" i="10"/>
  <c r="K111" i="10" s="1"/>
  <c r="J110" i="10"/>
  <c r="K110" i="10" s="1"/>
  <c r="J109" i="10"/>
  <c r="K109" i="10" s="1"/>
  <c r="J108" i="10"/>
  <c r="K108" i="10" s="1"/>
  <c r="K107" i="10"/>
  <c r="J107" i="10"/>
  <c r="J106" i="10"/>
  <c r="K106" i="10" s="1"/>
  <c r="J105" i="10"/>
  <c r="K105" i="10" s="1"/>
  <c r="J104" i="10"/>
  <c r="K104" i="10" s="1"/>
  <c r="J103" i="10"/>
  <c r="K103" i="10" s="1"/>
  <c r="J102" i="10"/>
  <c r="K102" i="10" s="1"/>
  <c r="J101" i="10"/>
  <c r="K101" i="10" s="1"/>
  <c r="J100" i="10"/>
  <c r="K100" i="10" s="1"/>
  <c r="J99" i="10"/>
  <c r="K99" i="10" s="1"/>
  <c r="J98" i="10"/>
  <c r="K98" i="10" s="1"/>
  <c r="J97" i="10"/>
  <c r="K97" i="10" s="1"/>
  <c r="J96" i="10"/>
  <c r="K96" i="10" s="1"/>
  <c r="J95" i="10"/>
  <c r="K95" i="10" s="1"/>
  <c r="J94" i="10"/>
  <c r="K94" i="10" s="1"/>
  <c r="K93" i="10"/>
  <c r="J93" i="10"/>
  <c r="J92" i="10"/>
  <c r="K92" i="10" s="1"/>
  <c r="J91" i="10"/>
  <c r="K91" i="10" s="1"/>
  <c r="J90" i="10"/>
  <c r="K90" i="10" s="1"/>
  <c r="J89" i="10"/>
  <c r="K89" i="10" s="1"/>
  <c r="J88" i="10"/>
  <c r="K88" i="10" s="1"/>
  <c r="J87" i="10"/>
  <c r="K87" i="10" s="1"/>
  <c r="J86" i="10"/>
  <c r="K86" i="10" s="1"/>
  <c r="J85" i="10"/>
  <c r="K85" i="10" s="1"/>
  <c r="J84" i="10"/>
  <c r="K84" i="10" s="1"/>
  <c r="K83" i="10"/>
  <c r="J83" i="10"/>
  <c r="J82" i="10"/>
  <c r="K82" i="10" s="1"/>
  <c r="J81" i="10"/>
  <c r="K81" i="10" s="1"/>
  <c r="J80" i="10"/>
  <c r="K80" i="10" s="1"/>
  <c r="J79" i="10"/>
  <c r="K79" i="10" s="1"/>
  <c r="J78" i="10"/>
  <c r="K78" i="10" s="1"/>
  <c r="K77" i="10"/>
  <c r="J77" i="10"/>
  <c r="K76" i="10"/>
  <c r="J76" i="10"/>
  <c r="K75" i="10"/>
  <c r="J75" i="10"/>
  <c r="J74" i="10"/>
  <c r="K74" i="10" s="1"/>
  <c r="J73" i="10"/>
  <c r="K73" i="10" s="1"/>
  <c r="J72" i="10"/>
  <c r="K72" i="10" s="1"/>
  <c r="J71" i="10"/>
  <c r="K71" i="10" s="1"/>
  <c r="J70" i="10"/>
  <c r="K70" i="10" s="1"/>
  <c r="J69" i="10"/>
  <c r="K69" i="10" s="1"/>
  <c r="J68" i="10"/>
  <c r="K68" i="10" s="1"/>
  <c r="J67" i="10"/>
  <c r="K67" i="10" s="1"/>
  <c r="J66" i="10"/>
  <c r="K66" i="10" s="1"/>
  <c r="J65" i="10"/>
  <c r="K65" i="10" s="1"/>
  <c r="J64" i="10"/>
  <c r="K64" i="10" s="1"/>
  <c r="J63" i="10"/>
  <c r="K63" i="10" s="1"/>
  <c r="J62" i="10"/>
  <c r="K62" i="10" s="1"/>
  <c r="J61" i="10"/>
  <c r="K61" i="10" s="1"/>
  <c r="J60" i="10"/>
  <c r="K60" i="10" s="1"/>
  <c r="J59" i="10"/>
  <c r="K59" i="10" s="1"/>
  <c r="J58" i="10"/>
  <c r="K58" i="10" s="1"/>
  <c r="J57" i="10"/>
  <c r="K57" i="10" s="1"/>
  <c r="J56" i="10"/>
  <c r="K56" i="10" s="1"/>
  <c r="J55" i="10"/>
  <c r="K55" i="10" s="1"/>
  <c r="J54" i="10"/>
  <c r="K54" i="10" s="1"/>
  <c r="J53" i="10"/>
  <c r="K53" i="10" s="1"/>
  <c r="J52" i="10"/>
  <c r="K52" i="10" s="1"/>
  <c r="J51" i="10"/>
  <c r="K51" i="10" s="1"/>
  <c r="K50" i="10"/>
  <c r="J50" i="10"/>
  <c r="J49" i="10"/>
  <c r="K49" i="10" s="1"/>
  <c r="J48" i="10"/>
  <c r="K48" i="10" s="1"/>
  <c r="J47" i="10"/>
  <c r="K47" i="10" s="1"/>
  <c r="J46" i="10"/>
  <c r="K46" i="10" s="1"/>
  <c r="J45" i="10"/>
  <c r="K45" i="10" s="1"/>
  <c r="J44" i="10"/>
  <c r="K44" i="10" s="1"/>
  <c r="J43" i="10"/>
  <c r="K43" i="10" s="1"/>
  <c r="J42" i="10"/>
  <c r="K42" i="10" s="1"/>
  <c r="J41" i="10"/>
  <c r="K41" i="10" s="1"/>
  <c r="K40" i="10"/>
  <c r="J40" i="10"/>
  <c r="J39" i="10"/>
  <c r="K39" i="10" s="1"/>
  <c r="J38" i="10"/>
  <c r="K38" i="10" s="1"/>
  <c r="J37" i="10"/>
  <c r="K37" i="10" s="1"/>
  <c r="J36" i="10"/>
  <c r="K36" i="10" s="1"/>
  <c r="J35" i="10"/>
  <c r="K35" i="10" s="1"/>
  <c r="J34" i="10"/>
  <c r="K34" i="10" s="1"/>
  <c r="J33" i="10"/>
  <c r="K33" i="10" s="1"/>
  <c r="J32" i="10"/>
  <c r="K32" i="10" s="1"/>
  <c r="J31" i="10"/>
  <c r="K31" i="10" s="1"/>
  <c r="K30" i="10"/>
  <c r="J30" i="10"/>
  <c r="J29" i="10"/>
  <c r="K29" i="10" s="1"/>
  <c r="J28" i="10"/>
  <c r="K28" i="10" s="1"/>
  <c r="J27" i="10"/>
  <c r="K27" i="10" s="1"/>
  <c r="J26" i="10"/>
  <c r="K26" i="10" s="1"/>
  <c r="J25" i="10"/>
  <c r="K25" i="10" s="1"/>
  <c r="J24" i="10"/>
  <c r="K24" i="10" s="1"/>
  <c r="J23" i="10"/>
  <c r="K23" i="10" s="1"/>
  <c r="J22" i="10"/>
  <c r="K22" i="10" s="1"/>
  <c r="J21" i="10"/>
  <c r="K21" i="10" s="1"/>
  <c r="J20" i="10"/>
  <c r="K20" i="10" s="1"/>
  <c r="J19" i="10"/>
  <c r="K19" i="10" s="1"/>
  <c r="J18" i="10"/>
  <c r="K18" i="10" s="1"/>
  <c r="J17" i="10"/>
  <c r="K17" i="10" s="1"/>
  <c r="J16" i="10"/>
  <c r="K16" i="10" s="1"/>
  <c r="K15" i="10"/>
  <c r="J15" i="10"/>
  <c r="J14" i="10"/>
  <c r="K14" i="10" s="1"/>
  <c r="J13" i="10"/>
  <c r="K13" i="10" s="1"/>
  <c r="J12" i="10"/>
  <c r="K12" i="10" s="1"/>
  <c r="J11" i="10"/>
  <c r="K11" i="10" s="1"/>
  <c r="J10" i="10"/>
  <c r="K10" i="10" s="1"/>
  <c r="J9" i="10"/>
  <c r="K9" i="10" s="1"/>
  <c r="K8" i="10"/>
  <c r="J8" i="10"/>
  <c r="J7" i="10"/>
  <c r="K7" i="10" s="1"/>
  <c r="J6" i="10"/>
  <c r="K6" i="10" s="1"/>
  <c r="J5" i="10"/>
  <c r="K5" i="10" s="1"/>
  <c r="A104" i="9"/>
  <c r="L104" i="9" s="1"/>
  <c r="B103" i="9"/>
  <c r="A103" i="9"/>
  <c r="A102" i="9"/>
  <c r="A101" i="9"/>
  <c r="E101" i="9" s="1"/>
  <c r="A100" i="9"/>
  <c r="A99" i="9"/>
  <c r="F99" i="9" s="1"/>
  <c r="N98" i="9"/>
  <c r="M98" i="9"/>
  <c r="L98" i="9"/>
  <c r="J98" i="9"/>
  <c r="A98" i="9"/>
  <c r="U98" i="9" s="1"/>
  <c r="A97" i="9"/>
  <c r="A96" i="9"/>
  <c r="T96" i="9" s="1"/>
  <c r="A95" i="9"/>
  <c r="T94" i="9"/>
  <c r="D94" i="9"/>
  <c r="C94" i="9"/>
  <c r="B94" i="9"/>
  <c r="A94" i="9"/>
  <c r="Q94" i="9" s="1"/>
  <c r="A93" i="9"/>
  <c r="A92" i="9"/>
  <c r="C92" i="9" s="1"/>
  <c r="O91" i="9"/>
  <c r="F91" i="9"/>
  <c r="A91" i="9"/>
  <c r="M90" i="9"/>
  <c r="L90" i="9"/>
  <c r="J90" i="9"/>
  <c r="I90" i="9"/>
  <c r="H90" i="9"/>
  <c r="E90" i="9"/>
  <c r="D90" i="9"/>
  <c r="C90" i="9"/>
  <c r="A90" i="9"/>
  <c r="Q90" i="9" s="1"/>
  <c r="A89" i="9"/>
  <c r="A88" i="9"/>
  <c r="A87" i="9"/>
  <c r="U86" i="9"/>
  <c r="T86" i="9"/>
  <c r="Q86" i="9"/>
  <c r="P86" i="9"/>
  <c r="M86" i="9"/>
  <c r="J86" i="9"/>
  <c r="I86" i="9"/>
  <c r="A86" i="9"/>
  <c r="A85" i="9"/>
  <c r="I85" i="9" s="1"/>
  <c r="T84" i="9"/>
  <c r="A84" i="9"/>
  <c r="J84" i="9" s="1"/>
  <c r="A83" i="9"/>
  <c r="A82" i="9"/>
  <c r="G82" i="9" s="1"/>
  <c r="J81" i="9"/>
  <c r="H81" i="9"/>
  <c r="G81" i="9"/>
  <c r="E81" i="9"/>
  <c r="D81" i="9"/>
  <c r="A81" i="9"/>
  <c r="U81" i="9" s="1"/>
  <c r="A80" i="9"/>
  <c r="E80" i="9" s="1"/>
  <c r="A79" i="9"/>
  <c r="T78" i="9"/>
  <c r="A78" i="9"/>
  <c r="O78" i="9" s="1"/>
  <c r="A77" i="9"/>
  <c r="F77" i="9" s="1"/>
  <c r="U76" i="9"/>
  <c r="A76" i="9"/>
  <c r="Q76" i="9" s="1"/>
  <c r="A75" i="9"/>
  <c r="A74" i="9"/>
  <c r="E74" i="9" s="1"/>
  <c r="E73" i="9"/>
  <c r="A73" i="9"/>
  <c r="D73" i="9" s="1"/>
  <c r="A72" i="9"/>
  <c r="N71" i="9"/>
  <c r="J71" i="9"/>
  <c r="I71" i="9"/>
  <c r="H71" i="9"/>
  <c r="A71" i="9"/>
  <c r="G70" i="9"/>
  <c r="D70" i="9"/>
  <c r="C70" i="9"/>
  <c r="B70" i="9"/>
  <c r="A70" i="9"/>
  <c r="E70" i="9" s="1"/>
  <c r="I69" i="9"/>
  <c r="H69" i="9"/>
  <c r="A69" i="9"/>
  <c r="Q68" i="9"/>
  <c r="O68" i="9"/>
  <c r="M68" i="9"/>
  <c r="L68" i="9"/>
  <c r="J68" i="9"/>
  <c r="K68" i="9" s="1"/>
  <c r="G68" i="9"/>
  <c r="F68" i="9"/>
  <c r="E68" i="9"/>
  <c r="C68" i="9"/>
  <c r="B68" i="9"/>
  <c r="A68" i="9"/>
  <c r="T68" i="9" s="1"/>
  <c r="P67" i="9"/>
  <c r="L67" i="9"/>
  <c r="A67" i="9"/>
  <c r="H67" i="9" s="1"/>
  <c r="A66" i="9"/>
  <c r="U66" i="9" s="1"/>
  <c r="A65" i="9"/>
  <c r="A64" i="9"/>
  <c r="T63" i="9"/>
  <c r="J63" i="9"/>
  <c r="I63" i="9"/>
  <c r="H63" i="9"/>
  <c r="G63" i="9"/>
  <c r="F63" i="9"/>
  <c r="A63" i="9"/>
  <c r="D63" i="9" s="1"/>
  <c r="A62" i="9"/>
  <c r="Q61" i="9"/>
  <c r="L61" i="9"/>
  <c r="H61" i="9"/>
  <c r="D61" i="9"/>
  <c r="A61" i="9"/>
  <c r="U60" i="9"/>
  <c r="G60" i="9"/>
  <c r="F60" i="9"/>
  <c r="D60" i="9"/>
  <c r="A60" i="9"/>
  <c r="A59" i="9"/>
  <c r="U59" i="9" s="1"/>
  <c r="U58" i="9"/>
  <c r="A58" i="9"/>
  <c r="A57" i="9"/>
  <c r="A56" i="9"/>
  <c r="T55" i="9"/>
  <c r="N55" i="9"/>
  <c r="M55" i="9"/>
  <c r="L55" i="9"/>
  <c r="H55" i="9"/>
  <c r="G55" i="9"/>
  <c r="E55" i="9"/>
  <c r="C55" i="9"/>
  <c r="A55" i="9"/>
  <c r="Q55" i="9" s="1"/>
  <c r="A54" i="9"/>
  <c r="A53" i="9"/>
  <c r="M53" i="9" s="1"/>
  <c r="A52" i="9"/>
  <c r="U52" i="9" s="1"/>
  <c r="N51" i="9"/>
  <c r="H51" i="9"/>
  <c r="A51" i="9"/>
  <c r="Q51" i="9" s="1"/>
  <c r="A50" i="9"/>
  <c r="A49" i="9"/>
  <c r="Q48" i="9"/>
  <c r="O48" i="9"/>
  <c r="M48" i="9"/>
  <c r="J48" i="9"/>
  <c r="D48" i="9"/>
  <c r="A48" i="9"/>
  <c r="C48" i="9" s="1"/>
  <c r="J47" i="9"/>
  <c r="A47" i="9"/>
  <c r="P46" i="9"/>
  <c r="L46" i="9"/>
  <c r="A46" i="9"/>
  <c r="C46" i="9" s="1"/>
  <c r="A45" i="9"/>
  <c r="H45" i="9" s="1"/>
  <c r="T44" i="9"/>
  <c r="A44" i="9"/>
  <c r="N43" i="9"/>
  <c r="L43" i="9"/>
  <c r="I43" i="9"/>
  <c r="H43" i="9"/>
  <c r="F43" i="9"/>
  <c r="A43" i="9"/>
  <c r="C43" i="9" s="1"/>
  <c r="A42" i="9"/>
  <c r="B42" i="9" s="1"/>
  <c r="A41" i="9"/>
  <c r="J41" i="9" s="1"/>
  <c r="A40" i="9"/>
  <c r="U40" i="9" s="1"/>
  <c r="A39" i="9"/>
  <c r="G39" i="9" s="1"/>
  <c r="A38" i="9"/>
  <c r="A37" i="9"/>
  <c r="T36" i="9"/>
  <c r="O36" i="9"/>
  <c r="F36" i="9"/>
  <c r="A36" i="9"/>
  <c r="E36" i="9" s="1"/>
  <c r="M35" i="9"/>
  <c r="L35" i="9"/>
  <c r="A35" i="9"/>
  <c r="A34" i="9"/>
  <c r="P34" i="9" s="1"/>
  <c r="O33" i="9"/>
  <c r="N33" i="9"/>
  <c r="L33" i="9"/>
  <c r="A33" i="9"/>
  <c r="T33" i="9" s="1"/>
  <c r="A32" i="9"/>
  <c r="T32" i="9" s="1"/>
  <c r="U31" i="9"/>
  <c r="J31" i="9"/>
  <c r="I31" i="9"/>
  <c r="H31" i="9"/>
  <c r="B31" i="9"/>
  <c r="A31" i="9"/>
  <c r="A30" i="9"/>
  <c r="A29" i="9"/>
  <c r="O29" i="9" s="1"/>
  <c r="Q28" i="9"/>
  <c r="P28" i="9"/>
  <c r="A28" i="9"/>
  <c r="Q27" i="9"/>
  <c r="O27" i="9"/>
  <c r="M27" i="9"/>
  <c r="L27" i="9"/>
  <c r="J27" i="9"/>
  <c r="G27" i="9"/>
  <c r="A27" i="9"/>
  <c r="A26" i="9"/>
  <c r="J25" i="9"/>
  <c r="G25" i="9"/>
  <c r="A25" i="9"/>
  <c r="A24" i="9"/>
  <c r="G24" i="9" s="1"/>
  <c r="U23" i="9"/>
  <c r="J23" i="9"/>
  <c r="K23" i="9" s="1"/>
  <c r="I23" i="9"/>
  <c r="H23" i="9"/>
  <c r="G23" i="9"/>
  <c r="F23" i="9"/>
  <c r="E23" i="9"/>
  <c r="D23" i="9"/>
  <c r="C23" i="9"/>
  <c r="A23" i="9"/>
  <c r="N23" i="9" s="1"/>
  <c r="A22" i="9"/>
  <c r="A21" i="9"/>
  <c r="U21" i="9" s="1"/>
  <c r="A20" i="9"/>
  <c r="T20" i="9" s="1"/>
  <c r="A19" i="9"/>
  <c r="O18" i="9"/>
  <c r="M18" i="9"/>
  <c r="L18" i="9"/>
  <c r="J18" i="9"/>
  <c r="B18" i="9"/>
  <c r="A18" i="9"/>
  <c r="P17" i="9"/>
  <c r="O17" i="9"/>
  <c r="M17" i="9"/>
  <c r="J17" i="9"/>
  <c r="H17" i="9"/>
  <c r="G17" i="9"/>
  <c r="F17" i="9"/>
  <c r="D17" i="9"/>
  <c r="A17" i="9"/>
  <c r="I16" i="9"/>
  <c r="H16" i="9"/>
  <c r="A16" i="9"/>
  <c r="P16" i="9" s="1"/>
  <c r="A15" i="9"/>
  <c r="T15" i="9" s="1"/>
  <c r="A14" i="9"/>
  <c r="D14" i="9" s="1"/>
  <c r="L13" i="9"/>
  <c r="J13" i="9"/>
  <c r="B13" i="9"/>
  <c r="A13" i="9"/>
  <c r="Q12" i="9"/>
  <c r="A12" i="9"/>
  <c r="A11" i="9"/>
  <c r="O10" i="9"/>
  <c r="J10" i="9"/>
  <c r="A10" i="9"/>
  <c r="P9" i="9"/>
  <c r="L9" i="9"/>
  <c r="I9" i="9"/>
  <c r="H9" i="9"/>
  <c r="F9" i="9"/>
  <c r="D9" i="9"/>
  <c r="C9" i="9"/>
  <c r="A9" i="9"/>
  <c r="U9" i="9" s="1"/>
  <c r="P8" i="9"/>
  <c r="M8" i="9"/>
  <c r="L8" i="9"/>
  <c r="J8" i="9"/>
  <c r="I8" i="9"/>
  <c r="H8" i="9"/>
  <c r="G8" i="9"/>
  <c r="F8" i="9"/>
  <c r="E8" i="9"/>
  <c r="D8" i="9"/>
  <c r="A8" i="9"/>
  <c r="Q8" i="9" s="1"/>
  <c r="A7" i="9"/>
  <c r="M6" i="9"/>
  <c r="A6" i="9"/>
  <c r="G6" i="9" s="1"/>
  <c r="C5" i="9"/>
  <c r="A5" i="9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H204" i="6"/>
  <c r="G204" i="6"/>
  <c r="F204" i="6"/>
  <c r="E204" i="6"/>
  <c r="H203" i="6"/>
  <c r="I203" i="6" s="1"/>
  <c r="J203" i="6" s="1"/>
  <c r="G203" i="6"/>
  <c r="F203" i="6"/>
  <c r="E203" i="6"/>
  <c r="H202" i="6"/>
  <c r="I202" i="6" s="1"/>
  <c r="J202" i="6" s="1"/>
  <c r="G202" i="6"/>
  <c r="F202" i="6"/>
  <c r="E202" i="6"/>
  <c r="H201" i="6"/>
  <c r="G201" i="6"/>
  <c r="F201" i="6"/>
  <c r="I201" i="6" s="1"/>
  <c r="J201" i="6" s="1"/>
  <c r="E201" i="6"/>
  <c r="H200" i="6"/>
  <c r="G200" i="6"/>
  <c r="F200" i="6"/>
  <c r="E200" i="6"/>
  <c r="H199" i="6"/>
  <c r="I199" i="6" s="1"/>
  <c r="J199" i="6" s="1"/>
  <c r="G199" i="6"/>
  <c r="F199" i="6"/>
  <c r="E199" i="6"/>
  <c r="H198" i="6"/>
  <c r="G198" i="6"/>
  <c r="F198" i="6"/>
  <c r="E198" i="6"/>
  <c r="H197" i="6"/>
  <c r="G197" i="6"/>
  <c r="F197" i="6"/>
  <c r="E197" i="6"/>
  <c r="H196" i="6"/>
  <c r="G196" i="6"/>
  <c r="F196" i="6"/>
  <c r="E196" i="6"/>
  <c r="H195" i="6"/>
  <c r="G195" i="6"/>
  <c r="F195" i="6"/>
  <c r="E195" i="6"/>
  <c r="H194" i="6"/>
  <c r="G194" i="6"/>
  <c r="F194" i="6"/>
  <c r="E194" i="6"/>
  <c r="I193" i="6"/>
  <c r="J193" i="6" s="1"/>
  <c r="H193" i="6"/>
  <c r="G193" i="6"/>
  <c r="F193" i="6"/>
  <c r="E193" i="6"/>
  <c r="H192" i="6"/>
  <c r="G192" i="6"/>
  <c r="F192" i="6"/>
  <c r="E192" i="6"/>
  <c r="H191" i="6"/>
  <c r="G191" i="6"/>
  <c r="F191" i="6"/>
  <c r="E191" i="6"/>
  <c r="H190" i="6"/>
  <c r="G190" i="6"/>
  <c r="F190" i="6"/>
  <c r="E190" i="6"/>
  <c r="H189" i="6"/>
  <c r="I189" i="6" s="1"/>
  <c r="J189" i="6" s="1"/>
  <c r="G189" i="6"/>
  <c r="F189" i="6"/>
  <c r="E189" i="6"/>
  <c r="H188" i="6"/>
  <c r="G188" i="6"/>
  <c r="F188" i="6"/>
  <c r="E188" i="6"/>
  <c r="H187" i="6"/>
  <c r="G187" i="6"/>
  <c r="F187" i="6"/>
  <c r="E187" i="6"/>
  <c r="H186" i="6"/>
  <c r="I186" i="6" s="1"/>
  <c r="J186" i="6" s="1"/>
  <c r="G186" i="6"/>
  <c r="F186" i="6"/>
  <c r="E186" i="6"/>
  <c r="H185" i="6"/>
  <c r="G185" i="6"/>
  <c r="F185" i="6"/>
  <c r="E185" i="6"/>
  <c r="H184" i="6"/>
  <c r="G184" i="6"/>
  <c r="F184" i="6"/>
  <c r="E184" i="6"/>
  <c r="H183" i="6"/>
  <c r="G183" i="6"/>
  <c r="F183" i="6"/>
  <c r="E183" i="6"/>
  <c r="H182" i="6"/>
  <c r="G182" i="6"/>
  <c r="F182" i="6"/>
  <c r="E182" i="6"/>
  <c r="H181" i="6"/>
  <c r="G181" i="6"/>
  <c r="F181" i="6"/>
  <c r="I181" i="6" s="1"/>
  <c r="J181" i="6" s="1"/>
  <c r="E181" i="6"/>
  <c r="H180" i="6"/>
  <c r="G180" i="6"/>
  <c r="F180" i="6"/>
  <c r="E180" i="6"/>
  <c r="H179" i="6"/>
  <c r="I179" i="6" s="1"/>
  <c r="J179" i="6" s="1"/>
  <c r="G179" i="6"/>
  <c r="F179" i="6"/>
  <c r="E179" i="6"/>
  <c r="H178" i="6"/>
  <c r="G178" i="6"/>
  <c r="F178" i="6"/>
  <c r="E178" i="6"/>
  <c r="H177" i="6"/>
  <c r="G177" i="6"/>
  <c r="F177" i="6"/>
  <c r="E177" i="6"/>
  <c r="H176" i="6"/>
  <c r="G176" i="6"/>
  <c r="F176" i="6"/>
  <c r="E176" i="6"/>
  <c r="H175" i="6"/>
  <c r="I175" i="6" s="1"/>
  <c r="J175" i="6" s="1"/>
  <c r="G175" i="6"/>
  <c r="F175" i="6"/>
  <c r="E175" i="6"/>
  <c r="H174" i="6"/>
  <c r="G174" i="6"/>
  <c r="F174" i="6"/>
  <c r="E174" i="6"/>
  <c r="H173" i="6"/>
  <c r="G173" i="6"/>
  <c r="F173" i="6"/>
  <c r="E173" i="6"/>
  <c r="H172" i="6"/>
  <c r="G172" i="6"/>
  <c r="F172" i="6"/>
  <c r="E172" i="6"/>
  <c r="H171" i="6"/>
  <c r="G171" i="6"/>
  <c r="F171" i="6"/>
  <c r="E171" i="6"/>
  <c r="H170" i="6"/>
  <c r="G170" i="6"/>
  <c r="F170" i="6"/>
  <c r="E170" i="6"/>
  <c r="H169" i="6"/>
  <c r="G169" i="6"/>
  <c r="F169" i="6"/>
  <c r="I169" i="6" s="1"/>
  <c r="J169" i="6" s="1"/>
  <c r="E169" i="6"/>
  <c r="H168" i="6"/>
  <c r="G168" i="6"/>
  <c r="F168" i="6"/>
  <c r="E168" i="6"/>
  <c r="H167" i="6"/>
  <c r="I167" i="6" s="1"/>
  <c r="J167" i="6" s="1"/>
  <c r="G167" i="6"/>
  <c r="F167" i="6"/>
  <c r="E167" i="6"/>
  <c r="H166" i="6"/>
  <c r="G166" i="6"/>
  <c r="F166" i="6"/>
  <c r="E166" i="6"/>
  <c r="H165" i="6"/>
  <c r="G165" i="6"/>
  <c r="F165" i="6"/>
  <c r="I165" i="6" s="1"/>
  <c r="J165" i="6" s="1"/>
  <c r="E165" i="6"/>
  <c r="H164" i="6"/>
  <c r="G164" i="6"/>
  <c r="F164" i="6"/>
  <c r="E164" i="6"/>
  <c r="H163" i="6"/>
  <c r="G163" i="6"/>
  <c r="F163" i="6"/>
  <c r="I163" i="6" s="1"/>
  <c r="J163" i="6" s="1"/>
  <c r="E163" i="6"/>
  <c r="H162" i="6"/>
  <c r="G162" i="6"/>
  <c r="F162" i="6"/>
  <c r="E162" i="6"/>
  <c r="H161" i="6"/>
  <c r="I161" i="6" s="1"/>
  <c r="J161" i="6" s="1"/>
  <c r="G161" i="6"/>
  <c r="F161" i="6"/>
  <c r="E161" i="6"/>
  <c r="H160" i="6"/>
  <c r="G160" i="6"/>
  <c r="F160" i="6"/>
  <c r="E160" i="6"/>
  <c r="H159" i="6"/>
  <c r="G159" i="6"/>
  <c r="F159" i="6"/>
  <c r="E159" i="6"/>
  <c r="H158" i="6"/>
  <c r="G158" i="6"/>
  <c r="F158" i="6"/>
  <c r="E158" i="6"/>
  <c r="H157" i="6"/>
  <c r="G157" i="6"/>
  <c r="F157" i="6"/>
  <c r="E157" i="6"/>
  <c r="H156" i="6"/>
  <c r="G156" i="6"/>
  <c r="F156" i="6"/>
  <c r="E156" i="6"/>
  <c r="H155" i="6"/>
  <c r="I155" i="6" s="1"/>
  <c r="J155" i="6" s="1"/>
  <c r="G155" i="6"/>
  <c r="F155" i="6"/>
  <c r="E155" i="6"/>
  <c r="H154" i="6"/>
  <c r="I154" i="6" s="1"/>
  <c r="J154" i="6" s="1"/>
  <c r="G154" i="6"/>
  <c r="F154" i="6"/>
  <c r="E154" i="6"/>
  <c r="H153" i="6"/>
  <c r="G153" i="6"/>
  <c r="F153" i="6"/>
  <c r="E153" i="6"/>
  <c r="H152" i="6"/>
  <c r="I152" i="6" s="1"/>
  <c r="J152" i="6" s="1"/>
  <c r="G152" i="6"/>
  <c r="F152" i="6"/>
  <c r="E152" i="6"/>
  <c r="H151" i="6"/>
  <c r="G151" i="6"/>
  <c r="F151" i="6"/>
  <c r="E151" i="6"/>
  <c r="H150" i="6"/>
  <c r="G150" i="6"/>
  <c r="F150" i="6"/>
  <c r="E150" i="6"/>
  <c r="H149" i="6"/>
  <c r="I149" i="6" s="1"/>
  <c r="J149" i="6" s="1"/>
  <c r="G149" i="6"/>
  <c r="F149" i="6"/>
  <c r="E149" i="6"/>
  <c r="H148" i="6"/>
  <c r="G148" i="6"/>
  <c r="F148" i="6"/>
  <c r="E148" i="6"/>
  <c r="H147" i="6"/>
  <c r="G147" i="6"/>
  <c r="F147" i="6"/>
  <c r="E147" i="6"/>
  <c r="H146" i="6"/>
  <c r="G146" i="6"/>
  <c r="F146" i="6"/>
  <c r="I146" i="6" s="1"/>
  <c r="J146" i="6" s="1"/>
  <c r="E146" i="6"/>
  <c r="I145" i="6"/>
  <c r="J145" i="6" s="1"/>
  <c r="H145" i="6"/>
  <c r="G145" i="6"/>
  <c r="F145" i="6"/>
  <c r="E145" i="6"/>
  <c r="H144" i="6"/>
  <c r="I144" i="6" s="1"/>
  <c r="J144" i="6" s="1"/>
  <c r="G144" i="6"/>
  <c r="F144" i="6"/>
  <c r="E144" i="6"/>
  <c r="H143" i="6"/>
  <c r="G143" i="6"/>
  <c r="F143" i="6"/>
  <c r="E143" i="6"/>
  <c r="H142" i="6"/>
  <c r="G142" i="6"/>
  <c r="F142" i="6"/>
  <c r="E142" i="6"/>
  <c r="H141" i="6"/>
  <c r="G141" i="6"/>
  <c r="F141" i="6"/>
  <c r="E141" i="6"/>
  <c r="H140" i="6"/>
  <c r="G140" i="6"/>
  <c r="F140" i="6"/>
  <c r="E140" i="6"/>
  <c r="H139" i="6"/>
  <c r="G139" i="6"/>
  <c r="F139" i="6"/>
  <c r="E139" i="6"/>
  <c r="H138" i="6"/>
  <c r="G138" i="6"/>
  <c r="F138" i="6"/>
  <c r="E138" i="6"/>
  <c r="H137" i="6"/>
  <c r="G137" i="6"/>
  <c r="F137" i="6"/>
  <c r="E137" i="6"/>
  <c r="H136" i="6"/>
  <c r="G136" i="6"/>
  <c r="F136" i="6"/>
  <c r="E136" i="6"/>
  <c r="H135" i="6"/>
  <c r="G135" i="6"/>
  <c r="F135" i="6"/>
  <c r="E135" i="6"/>
  <c r="H134" i="6"/>
  <c r="G134" i="6"/>
  <c r="F134" i="6"/>
  <c r="E134" i="6"/>
  <c r="H133" i="6"/>
  <c r="G133" i="6"/>
  <c r="F133" i="6"/>
  <c r="E133" i="6"/>
  <c r="H132" i="6"/>
  <c r="G132" i="6"/>
  <c r="F132" i="6"/>
  <c r="E132" i="6"/>
  <c r="H131" i="6"/>
  <c r="G131" i="6"/>
  <c r="F131" i="6"/>
  <c r="E131" i="6"/>
  <c r="H130" i="6"/>
  <c r="G130" i="6"/>
  <c r="F130" i="6"/>
  <c r="I130" i="6" s="1"/>
  <c r="J130" i="6" s="1"/>
  <c r="E130" i="6"/>
  <c r="H129" i="6"/>
  <c r="I129" i="6" s="1"/>
  <c r="J129" i="6" s="1"/>
  <c r="G129" i="6"/>
  <c r="F129" i="6"/>
  <c r="E129" i="6"/>
  <c r="H128" i="6"/>
  <c r="G128" i="6"/>
  <c r="F128" i="6"/>
  <c r="E128" i="6"/>
  <c r="H127" i="6"/>
  <c r="G127" i="6"/>
  <c r="F127" i="6"/>
  <c r="E127" i="6"/>
  <c r="H126" i="6"/>
  <c r="I126" i="6" s="1"/>
  <c r="J126" i="6" s="1"/>
  <c r="G126" i="6"/>
  <c r="F126" i="6"/>
  <c r="E126" i="6"/>
  <c r="H125" i="6"/>
  <c r="G125" i="6"/>
  <c r="F125" i="6"/>
  <c r="E125" i="6"/>
  <c r="H124" i="6"/>
  <c r="G124" i="6"/>
  <c r="F124" i="6"/>
  <c r="E124" i="6"/>
  <c r="H123" i="6"/>
  <c r="G123" i="6"/>
  <c r="F123" i="6"/>
  <c r="E123" i="6"/>
  <c r="H122" i="6"/>
  <c r="G122" i="6"/>
  <c r="F122" i="6"/>
  <c r="I122" i="6" s="1"/>
  <c r="J122" i="6" s="1"/>
  <c r="E122" i="6"/>
  <c r="I121" i="6"/>
  <c r="J121" i="6" s="1"/>
  <c r="H121" i="6"/>
  <c r="G121" i="6"/>
  <c r="F121" i="6"/>
  <c r="E121" i="6"/>
  <c r="H120" i="6"/>
  <c r="I120" i="6" s="1"/>
  <c r="J120" i="6" s="1"/>
  <c r="G120" i="6"/>
  <c r="F120" i="6"/>
  <c r="E120" i="6"/>
  <c r="H119" i="6"/>
  <c r="I119" i="6" s="1"/>
  <c r="J119" i="6" s="1"/>
  <c r="G119" i="6"/>
  <c r="F119" i="6"/>
  <c r="E119" i="6"/>
  <c r="H118" i="6"/>
  <c r="G118" i="6"/>
  <c r="F118" i="6"/>
  <c r="E118" i="6"/>
  <c r="H117" i="6"/>
  <c r="I117" i="6" s="1"/>
  <c r="J117" i="6" s="1"/>
  <c r="G117" i="6"/>
  <c r="F117" i="6"/>
  <c r="E117" i="6"/>
  <c r="H116" i="6"/>
  <c r="I116" i="6" s="1"/>
  <c r="J116" i="6" s="1"/>
  <c r="G116" i="6"/>
  <c r="F116" i="6"/>
  <c r="E116" i="6"/>
  <c r="H115" i="6"/>
  <c r="G115" i="6"/>
  <c r="F115" i="6"/>
  <c r="E115" i="6"/>
  <c r="H114" i="6"/>
  <c r="I114" i="6" s="1"/>
  <c r="J114" i="6" s="1"/>
  <c r="G114" i="6"/>
  <c r="F114" i="6"/>
  <c r="E114" i="6"/>
  <c r="H113" i="6"/>
  <c r="G113" i="6"/>
  <c r="F113" i="6"/>
  <c r="E113" i="6"/>
  <c r="H112" i="6"/>
  <c r="G112" i="6"/>
  <c r="F112" i="6"/>
  <c r="E112" i="6"/>
  <c r="H111" i="6"/>
  <c r="I111" i="6" s="1"/>
  <c r="J111" i="6" s="1"/>
  <c r="G111" i="6"/>
  <c r="F111" i="6"/>
  <c r="E111" i="6"/>
  <c r="H110" i="6"/>
  <c r="G110" i="6"/>
  <c r="F110" i="6"/>
  <c r="E110" i="6"/>
  <c r="H109" i="6"/>
  <c r="I109" i="6" s="1"/>
  <c r="J109" i="6" s="1"/>
  <c r="G109" i="6"/>
  <c r="F109" i="6"/>
  <c r="E109" i="6"/>
  <c r="H108" i="6"/>
  <c r="G108" i="6"/>
  <c r="F108" i="6"/>
  <c r="E108" i="6"/>
  <c r="H107" i="6"/>
  <c r="G107" i="6"/>
  <c r="F107" i="6"/>
  <c r="E107" i="6"/>
  <c r="I106" i="6"/>
  <c r="J106" i="6" s="1"/>
  <c r="H106" i="6"/>
  <c r="G106" i="6"/>
  <c r="F106" i="6"/>
  <c r="E106" i="6"/>
  <c r="H105" i="6"/>
  <c r="G105" i="6"/>
  <c r="F105" i="6"/>
  <c r="E105" i="6"/>
  <c r="H104" i="6"/>
  <c r="G104" i="6"/>
  <c r="F104" i="6"/>
  <c r="E104" i="6"/>
  <c r="H103" i="6"/>
  <c r="I103" i="6" s="1"/>
  <c r="J103" i="6" s="1"/>
  <c r="G103" i="6"/>
  <c r="F103" i="6"/>
  <c r="E103" i="6"/>
  <c r="H102" i="6"/>
  <c r="I102" i="6" s="1"/>
  <c r="J102" i="6" s="1"/>
  <c r="G102" i="6"/>
  <c r="F102" i="6"/>
  <c r="E102" i="6"/>
  <c r="H101" i="6"/>
  <c r="G101" i="6"/>
  <c r="F101" i="6"/>
  <c r="I101" i="6" s="1"/>
  <c r="J101" i="6" s="1"/>
  <c r="E101" i="6"/>
  <c r="H100" i="6"/>
  <c r="I100" i="6" s="1"/>
  <c r="J100" i="6" s="1"/>
  <c r="G100" i="6"/>
  <c r="F100" i="6"/>
  <c r="E100" i="6"/>
  <c r="H99" i="6"/>
  <c r="G99" i="6"/>
  <c r="F99" i="6"/>
  <c r="E99" i="6"/>
  <c r="H98" i="6"/>
  <c r="G98" i="6"/>
  <c r="F98" i="6"/>
  <c r="E98" i="6"/>
  <c r="H97" i="6"/>
  <c r="G97" i="6"/>
  <c r="F97" i="6"/>
  <c r="E97" i="6"/>
  <c r="H96" i="6"/>
  <c r="G96" i="6"/>
  <c r="F96" i="6"/>
  <c r="E96" i="6"/>
  <c r="H95" i="6"/>
  <c r="G95" i="6"/>
  <c r="F95" i="6"/>
  <c r="I95" i="6" s="1"/>
  <c r="J95" i="6" s="1"/>
  <c r="E95" i="6"/>
  <c r="H94" i="6"/>
  <c r="G94" i="6"/>
  <c r="F94" i="6"/>
  <c r="E94" i="6"/>
  <c r="H93" i="6"/>
  <c r="I93" i="6" s="1"/>
  <c r="J93" i="6" s="1"/>
  <c r="G93" i="6"/>
  <c r="F93" i="6"/>
  <c r="E93" i="6"/>
  <c r="H92" i="6"/>
  <c r="G92" i="6"/>
  <c r="F92" i="6"/>
  <c r="E92" i="6"/>
  <c r="H91" i="6"/>
  <c r="I91" i="6" s="1"/>
  <c r="J91" i="6" s="1"/>
  <c r="G91" i="6"/>
  <c r="F91" i="6"/>
  <c r="E91" i="6"/>
  <c r="H90" i="6"/>
  <c r="I90" i="6" s="1"/>
  <c r="J90" i="6" s="1"/>
  <c r="G90" i="6"/>
  <c r="F90" i="6"/>
  <c r="E90" i="6"/>
  <c r="H89" i="6"/>
  <c r="G89" i="6"/>
  <c r="F89" i="6"/>
  <c r="E89" i="6"/>
  <c r="H88" i="6"/>
  <c r="I88" i="6" s="1"/>
  <c r="J88" i="6" s="1"/>
  <c r="G88" i="6"/>
  <c r="F88" i="6"/>
  <c r="E88" i="6"/>
  <c r="H87" i="6"/>
  <c r="G87" i="6"/>
  <c r="F87" i="6"/>
  <c r="E87" i="6"/>
  <c r="H86" i="6"/>
  <c r="G86" i="6"/>
  <c r="F86" i="6"/>
  <c r="E86" i="6"/>
  <c r="H85" i="6"/>
  <c r="G85" i="6"/>
  <c r="F85" i="6"/>
  <c r="I85" i="6" s="1"/>
  <c r="J85" i="6" s="1"/>
  <c r="E85" i="6"/>
  <c r="H84" i="6"/>
  <c r="G84" i="6"/>
  <c r="F84" i="6"/>
  <c r="E84" i="6"/>
  <c r="H83" i="6"/>
  <c r="G83" i="6"/>
  <c r="F83" i="6"/>
  <c r="E83" i="6"/>
  <c r="H82" i="6"/>
  <c r="G82" i="6"/>
  <c r="F82" i="6"/>
  <c r="E82" i="6"/>
  <c r="H81" i="6"/>
  <c r="G81" i="6"/>
  <c r="F81" i="6"/>
  <c r="E81" i="6"/>
  <c r="H80" i="6"/>
  <c r="I80" i="6" s="1"/>
  <c r="J80" i="6" s="1"/>
  <c r="G80" i="6"/>
  <c r="F80" i="6"/>
  <c r="E80" i="6"/>
  <c r="H79" i="6"/>
  <c r="G79" i="6"/>
  <c r="F79" i="6"/>
  <c r="I79" i="6" s="1"/>
  <c r="J79" i="6" s="1"/>
  <c r="E79" i="6"/>
  <c r="H78" i="6"/>
  <c r="G78" i="6"/>
  <c r="F78" i="6"/>
  <c r="E78" i="6"/>
  <c r="H77" i="6"/>
  <c r="G77" i="6"/>
  <c r="F77" i="6"/>
  <c r="E77" i="6"/>
  <c r="H76" i="6"/>
  <c r="G76" i="6"/>
  <c r="F76" i="6"/>
  <c r="E76" i="6"/>
  <c r="H75" i="6"/>
  <c r="G75" i="6"/>
  <c r="F75" i="6"/>
  <c r="E75" i="6"/>
  <c r="I74" i="6"/>
  <c r="J74" i="6" s="1"/>
  <c r="H74" i="6"/>
  <c r="G74" i="6"/>
  <c r="F74" i="6"/>
  <c r="E74" i="6"/>
  <c r="H73" i="6"/>
  <c r="G73" i="6"/>
  <c r="F73" i="6"/>
  <c r="E73" i="6"/>
  <c r="H72" i="6"/>
  <c r="G72" i="6"/>
  <c r="F72" i="6"/>
  <c r="E72" i="6"/>
  <c r="H71" i="6"/>
  <c r="G71" i="6"/>
  <c r="F71" i="6"/>
  <c r="E71" i="6"/>
  <c r="H70" i="6"/>
  <c r="G70" i="6"/>
  <c r="F70" i="6"/>
  <c r="E70" i="6"/>
  <c r="H69" i="6"/>
  <c r="G69" i="6"/>
  <c r="F69" i="6"/>
  <c r="I69" i="6" s="1"/>
  <c r="J69" i="6" s="1"/>
  <c r="E69" i="6"/>
  <c r="H68" i="6"/>
  <c r="G68" i="6"/>
  <c r="F68" i="6"/>
  <c r="E68" i="6"/>
  <c r="H67" i="6"/>
  <c r="G67" i="6"/>
  <c r="F67" i="6"/>
  <c r="E67" i="6"/>
  <c r="H66" i="6"/>
  <c r="G66" i="6"/>
  <c r="F66" i="6"/>
  <c r="E66" i="6"/>
  <c r="H65" i="6"/>
  <c r="G65" i="6"/>
  <c r="F65" i="6"/>
  <c r="E65" i="6"/>
  <c r="H64" i="6"/>
  <c r="G64" i="6"/>
  <c r="F64" i="6"/>
  <c r="E64" i="6"/>
  <c r="H63" i="6"/>
  <c r="G63" i="6"/>
  <c r="F63" i="6"/>
  <c r="I63" i="6" s="1"/>
  <c r="J63" i="6" s="1"/>
  <c r="E63" i="6"/>
  <c r="H62" i="6"/>
  <c r="G62" i="6"/>
  <c r="F62" i="6"/>
  <c r="E62" i="6"/>
  <c r="H61" i="6"/>
  <c r="I61" i="6" s="1"/>
  <c r="J61" i="6" s="1"/>
  <c r="G61" i="6"/>
  <c r="F61" i="6"/>
  <c r="E61" i="6"/>
  <c r="H60" i="6"/>
  <c r="G60" i="6"/>
  <c r="F60" i="6"/>
  <c r="I60" i="6" s="1"/>
  <c r="J60" i="6" s="1"/>
  <c r="E60" i="6"/>
  <c r="H59" i="6"/>
  <c r="G59" i="6"/>
  <c r="F59" i="6"/>
  <c r="I59" i="6" s="1"/>
  <c r="J59" i="6" s="1"/>
  <c r="E59" i="6"/>
  <c r="H58" i="6"/>
  <c r="G58" i="6"/>
  <c r="F58" i="6"/>
  <c r="E58" i="6"/>
  <c r="H57" i="6"/>
  <c r="I57" i="6" s="1"/>
  <c r="J57" i="6" s="1"/>
  <c r="G57" i="6"/>
  <c r="F57" i="6"/>
  <c r="E57" i="6"/>
  <c r="H56" i="6"/>
  <c r="G56" i="6"/>
  <c r="F56" i="6"/>
  <c r="E56" i="6"/>
  <c r="H55" i="6"/>
  <c r="G55" i="6"/>
  <c r="F55" i="6"/>
  <c r="E55" i="6"/>
  <c r="H54" i="6"/>
  <c r="I54" i="6" s="1"/>
  <c r="J54" i="6" s="1"/>
  <c r="G54" i="6"/>
  <c r="F54" i="6"/>
  <c r="E54" i="6"/>
  <c r="H53" i="6"/>
  <c r="G53" i="6"/>
  <c r="F53" i="6"/>
  <c r="E53" i="6"/>
  <c r="H52" i="6"/>
  <c r="G52" i="6"/>
  <c r="F52" i="6"/>
  <c r="E52" i="6"/>
  <c r="H51" i="6"/>
  <c r="G51" i="6"/>
  <c r="F51" i="6"/>
  <c r="E51" i="6"/>
  <c r="H50" i="6"/>
  <c r="G50" i="6"/>
  <c r="F50" i="6"/>
  <c r="E50" i="6"/>
  <c r="H49" i="6"/>
  <c r="G49" i="6"/>
  <c r="F49" i="6"/>
  <c r="E49" i="6"/>
  <c r="H48" i="6"/>
  <c r="I48" i="6" s="1"/>
  <c r="J48" i="6" s="1"/>
  <c r="G48" i="6"/>
  <c r="F48" i="6"/>
  <c r="E48" i="6"/>
  <c r="H47" i="6"/>
  <c r="G47" i="6"/>
  <c r="F47" i="6"/>
  <c r="E47" i="6"/>
  <c r="H46" i="6"/>
  <c r="G46" i="6"/>
  <c r="F46" i="6"/>
  <c r="E46" i="6"/>
  <c r="H45" i="6"/>
  <c r="I45" i="6" s="1"/>
  <c r="J45" i="6" s="1"/>
  <c r="G45" i="6"/>
  <c r="F45" i="6"/>
  <c r="E45" i="6"/>
  <c r="H44" i="6"/>
  <c r="G44" i="6"/>
  <c r="F44" i="6"/>
  <c r="E44" i="6"/>
  <c r="H43" i="6"/>
  <c r="G43" i="6"/>
  <c r="F43" i="6"/>
  <c r="E43" i="6"/>
  <c r="H42" i="6"/>
  <c r="G42" i="6"/>
  <c r="F42" i="6"/>
  <c r="E42" i="6"/>
  <c r="H41" i="6"/>
  <c r="G41" i="6"/>
  <c r="F41" i="6"/>
  <c r="I41" i="6" s="1"/>
  <c r="J41" i="6" s="1"/>
  <c r="E41" i="6"/>
  <c r="H40" i="6"/>
  <c r="G40" i="6"/>
  <c r="F40" i="6"/>
  <c r="E40" i="6"/>
  <c r="H39" i="6"/>
  <c r="G39" i="6"/>
  <c r="F39" i="6"/>
  <c r="E39" i="6"/>
  <c r="H38" i="6"/>
  <c r="G38" i="6"/>
  <c r="F38" i="6"/>
  <c r="I38" i="6" s="1"/>
  <c r="J38" i="6" s="1"/>
  <c r="E38" i="6"/>
  <c r="H37" i="6"/>
  <c r="G37" i="6"/>
  <c r="F37" i="6"/>
  <c r="E37" i="6"/>
  <c r="H36" i="6"/>
  <c r="G36" i="6"/>
  <c r="F36" i="6"/>
  <c r="E36" i="6"/>
  <c r="H35" i="6"/>
  <c r="G35" i="6"/>
  <c r="F35" i="6"/>
  <c r="E35" i="6"/>
  <c r="H34" i="6"/>
  <c r="G34" i="6"/>
  <c r="F34" i="6"/>
  <c r="E34" i="6"/>
  <c r="H33" i="6"/>
  <c r="G33" i="6"/>
  <c r="F33" i="6"/>
  <c r="E33" i="6"/>
  <c r="H32" i="6"/>
  <c r="G32" i="6"/>
  <c r="F32" i="6"/>
  <c r="E32" i="6"/>
  <c r="H31" i="6"/>
  <c r="G31" i="6"/>
  <c r="F31" i="6"/>
  <c r="E31" i="6"/>
  <c r="H30" i="6"/>
  <c r="G30" i="6"/>
  <c r="F30" i="6"/>
  <c r="E30" i="6"/>
  <c r="H29" i="6"/>
  <c r="G29" i="6"/>
  <c r="F29" i="6"/>
  <c r="I29" i="6" s="1"/>
  <c r="J29" i="6" s="1"/>
  <c r="E29" i="6"/>
  <c r="H28" i="6"/>
  <c r="G28" i="6"/>
  <c r="F28" i="6"/>
  <c r="E28" i="6"/>
  <c r="H27" i="6"/>
  <c r="G27" i="6"/>
  <c r="F27" i="6"/>
  <c r="E27" i="6"/>
  <c r="H26" i="6"/>
  <c r="G26" i="6"/>
  <c r="F26" i="6"/>
  <c r="E26" i="6"/>
  <c r="H25" i="6"/>
  <c r="G25" i="6"/>
  <c r="F25" i="6"/>
  <c r="E25" i="6"/>
  <c r="H24" i="6"/>
  <c r="G24" i="6"/>
  <c r="F24" i="6"/>
  <c r="E24" i="6"/>
  <c r="H23" i="6"/>
  <c r="G23" i="6"/>
  <c r="F23" i="6"/>
  <c r="I23" i="6" s="1"/>
  <c r="J23" i="6" s="1"/>
  <c r="E23" i="6"/>
  <c r="H22" i="6"/>
  <c r="G22" i="6"/>
  <c r="F22" i="6"/>
  <c r="E22" i="6"/>
  <c r="H21" i="6"/>
  <c r="G21" i="6"/>
  <c r="F21" i="6"/>
  <c r="E21" i="6"/>
  <c r="H20" i="6"/>
  <c r="G20" i="6"/>
  <c r="F20" i="6"/>
  <c r="E20" i="6"/>
  <c r="H19" i="6"/>
  <c r="I19" i="6" s="1"/>
  <c r="J19" i="6" s="1"/>
  <c r="G19" i="6"/>
  <c r="F19" i="6"/>
  <c r="E19" i="6"/>
  <c r="H18" i="6"/>
  <c r="G18" i="6"/>
  <c r="F18" i="6"/>
  <c r="E18" i="6"/>
  <c r="H17" i="6"/>
  <c r="G17" i="6"/>
  <c r="F17" i="6"/>
  <c r="I17" i="6" s="1"/>
  <c r="J17" i="6" s="1"/>
  <c r="E17" i="6"/>
  <c r="H16" i="6"/>
  <c r="I16" i="6" s="1"/>
  <c r="J16" i="6" s="1"/>
  <c r="G16" i="6"/>
  <c r="F16" i="6"/>
  <c r="E16" i="6"/>
  <c r="H15" i="6"/>
  <c r="G15" i="6"/>
  <c r="F15" i="6"/>
  <c r="E15" i="6"/>
  <c r="H14" i="6"/>
  <c r="G14" i="6"/>
  <c r="F14" i="6"/>
  <c r="I14" i="6" s="1"/>
  <c r="J14" i="6" s="1"/>
  <c r="E14" i="6"/>
  <c r="H13" i="6"/>
  <c r="G13" i="6"/>
  <c r="F13" i="6"/>
  <c r="E13" i="6"/>
  <c r="H12" i="6"/>
  <c r="G12" i="6"/>
  <c r="F12" i="6"/>
  <c r="E12" i="6"/>
  <c r="H11" i="6"/>
  <c r="G11" i="6"/>
  <c r="F11" i="6"/>
  <c r="E11" i="6"/>
  <c r="H10" i="6"/>
  <c r="I10" i="6" s="1"/>
  <c r="J10" i="6" s="1"/>
  <c r="G10" i="6"/>
  <c r="F10" i="6"/>
  <c r="E10" i="6"/>
  <c r="H9" i="6"/>
  <c r="I9" i="6" s="1"/>
  <c r="J9" i="6" s="1"/>
  <c r="G9" i="6"/>
  <c r="F9" i="6"/>
  <c r="E9" i="6"/>
  <c r="H8" i="6"/>
  <c r="G8" i="6"/>
  <c r="F8" i="6"/>
  <c r="E8" i="6"/>
  <c r="H7" i="6"/>
  <c r="G7" i="6"/>
  <c r="F7" i="6"/>
  <c r="E7" i="6"/>
  <c r="H6" i="6"/>
  <c r="G6" i="6"/>
  <c r="F6" i="6"/>
  <c r="E6" i="6"/>
  <c r="G5" i="6"/>
  <c r="H5" i="6" s="1"/>
  <c r="I1004" i="5"/>
  <c r="C1004" i="5"/>
  <c r="I1003" i="5"/>
  <c r="C1003" i="5"/>
  <c r="I1002" i="5"/>
  <c r="C1002" i="5"/>
  <c r="I1001" i="5"/>
  <c r="C1001" i="5"/>
  <c r="I1000" i="5"/>
  <c r="C1000" i="5"/>
  <c r="I999" i="5"/>
  <c r="C999" i="5"/>
  <c r="I998" i="5"/>
  <c r="C998" i="5"/>
  <c r="I997" i="5"/>
  <c r="C997" i="5"/>
  <c r="I996" i="5"/>
  <c r="C996" i="5"/>
  <c r="I995" i="5"/>
  <c r="C995" i="5"/>
  <c r="I994" i="5"/>
  <c r="C994" i="5"/>
  <c r="I993" i="5"/>
  <c r="C993" i="5"/>
  <c r="I992" i="5"/>
  <c r="C992" i="5"/>
  <c r="I991" i="5"/>
  <c r="C991" i="5"/>
  <c r="I990" i="5"/>
  <c r="C990" i="5"/>
  <c r="I989" i="5"/>
  <c r="C989" i="5"/>
  <c r="I988" i="5"/>
  <c r="C988" i="5"/>
  <c r="I987" i="5"/>
  <c r="C987" i="5"/>
  <c r="I986" i="5"/>
  <c r="C986" i="5"/>
  <c r="I985" i="5"/>
  <c r="C985" i="5"/>
  <c r="I984" i="5"/>
  <c r="C984" i="5"/>
  <c r="I983" i="5"/>
  <c r="C983" i="5"/>
  <c r="I982" i="5"/>
  <c r="C982" i="5"/>
  <c r="I981" i="5"/>
  <c r="C981" i="5"/>
  <c r="I980" i="5"/>
  <c r="C980" i="5"/>
  <c r="I979" i="5"/>
  <c r="C979" i="5"/>
  <c r="I978" i="5"/>
  <c r="C978" i="5"/>
  <c r="I977" i="5"/>
  <c r="C977" i="5"/>
  <c r="I976" i="5"/>
  <c r="C976" i="5"/>
  <c r="I975" i="5"/>
  <c r="C975" i="5"/>
  <c r="I974" i="5"/>
  <c r="C974" i="5"/>
  <c r="I973" i="5"/>
  <c r="C973" i="5"/>
  <c r="I972" i="5"/>
  <c r="C972" i="5"/>
  <c r="I971" i="5"/>
  <c r="C971" i="5"/>
  <c r="I970" i="5"/>
  <c r="C970" i="5"/>
  <c r="I969" i="5"/>
  <c r="C969" i="5"/>
  <c r="I968" i="5"/>
  <c r="C968" i="5"/>
  <c r="I967" i="5"/>
  <c r="C967" i="5"/>
  <c r="I966" i="5"/>
  <c r="C966" i="5"/>
  <c r="I965" i="5"/>
  <c r="C965" i="5"/>
  <c r="I964" i="5"/>
  <c r="C964" i="5"/>
  <c r="I963" i="5"/>
  <c r="C963" i="5"/>
  <c r="I962" i="5"/>
  <c r="C962" i="5"/>
  <c r="I961" i="5"/>
  <c r="C961" i="5"/>
  <c r="I960" i="5"/>
  <c r="C960" i="5"/>
  <c r="I959" i="5"/>
  <c r="C959" i="5"/>
  <c r="I958" i="5"/>
  <c r="C958" i="5"/>
  <c r="I957" i="5"/>
  <c r="C957" i="5"/>
  <c r="I956" i="5"/>
  <c r="C956" i="5"/>
  <c r="I955" i="5"/>
  <c r="C955" i="5"/>
  <c r="I954" i="5"/>
  <c r="C954" i="5"/>
  <c r="I953" i="5"/>
  <c r="C953" i="5"/>
  <c r="I952" i="5"/>
  <c r="C952" i="5"/>
  <c r="I951" i="5"/>
  <c r="C951" i="5"/>
  <c r="I950" i="5"/>
  <c r="C950" i="5"/>
  <c r="I949" i="5"/>
  <c r="C949" i="5"/>
  <c r="I948" i="5"/>
  <c r="C948" i="5"/>
  <c r="I947" i="5"/>
  <c r="C947" i="5"/>
  <c r="I946" i="5"/>
  <c r="C946" i="5"/>
  <c r="I945" i="5"/>
  <c r="C945" i="5"/>
  <c r="I944" i="5"/>
  <c r="C944" i="5"/>
  <c r="I943" i="5"/>
  <c r="C943" i="5"/>
  <c r="I942" i="5"/>
  <c r="C942" i="5"/>
  <c r="I941" i="5"/>
  <c r="C941" i="5"/>
  <c r="I940" i="5"/>
  <c r="C940" i="5"/>
  <c r="I939" i="5"/>
  <c r="C939" i="5"/>
  <c r="I938" i="5"/>
  <c r="C938" i="5"/>
  <c r="I937" i="5"/>
  <c r="C937" i="5"/>
  <c r="I936" i="5"/>
  <c r="C936" i="5"/>
  <c r="I935" i="5"/>
  <c r="C935" i="5"/>
  <c r="I934" i="5"/>
  <c r="C934" i="5"/>
  <c r="I933" i="5"/>
  <c r="C933" i="5"/>
  <c r="I932" i="5"/>
  <c r="C932" i="5"/>
  <c r="I931" i="5"/>
  <c r="C931" i="5"/>
  <c r="I930" i="5"/>
  <c r="C930" i="5"/>
  <c r="I929" i="5"/>
  <c r="C929" i="5"/>
  <c r="I928" i="5"/>
  <c r="C928" i="5"/>
  <c r="I927" i="5"/>
  <c r="C927" i="5"/>
  <c r="I926" i="5"/>
  <c r="C926" i="5"/>
  <c r="I925" i="5"/>
  <c r="C925" i="5"/>
  <c r="I924" i="5"/>
  <c r="C924" i="5"/>
  <c r="I923" i="5"/>
  <c r="C923" i="5"/>
  <c r="I922" i="5"/>
  <c r="C922" i="5"/>
  <c r="I921" i="5"/>
  <c r="C921" i="5"/>
  <c r="I920" i="5"/>
  <c r="C920" i="5"/>
  <c r="I919" i="5"/>
  <c r="C919" i="5"/>
  <c r="I918" i="5"/>
  <c r="C918" i="5"/>
  <c r="I917" i="5"/>
  <c r="C917" i="5"/>
  <c r="I916" i="5"/>
  <c r="C916" i="5"/>
  <c r="I915" i="5"/>
  <c r="C915" i="5"/>
  <c r="I914" i="5"/>
  <c r="C914" i="5"/>
  <c r="I913" i="5"/>
  <c r="C913" i="5"/>
  <c r="I912" i="5"/>
  <c r="C912" i="5"/>
  <c r="I911" i="5"/>
  <c r="C911" i="5"/>
  <c r="I910" i="5"/>
  <c r="C910" i="5"/>
  <c r="I909" i="5"/>
  <c r="C909" i="5"/>
  <c r="I908" i="5"/>
  <c r="C908" i="5"/>
  <c r="I907" i="5"/>
  <c r="C907" i="5"/>
  <c r="I906" i="5"/>
  <c r="C906" i="5"/>
  <c r="I905" i="5"/>
  <c r="C905" i="5"/>
  <c r="I904" i="5"/>
  <c r="C904" i="5"/>
  <c r="I903" i="5"/>
  <c r="C903" i="5"/>
  <c r="I902" i="5"/>
  <c r="C902" i="5"/>
  <c r="I901" i="5"/>
  <c r="C901" i="5"/>
  <c r="I900" i="5"/>
  <c r="C900" i="5"/>
  <c r="I899" i="5"/>
  <c r="C899" i="5"/>
  <c r="I898" i="5"/>
  <c r="C898" i="5"/>
  <c r="I897" i="5"/>
  <c r="C897" i="5"/>
  <c r="I896" i="5"/>
  <c r="C896" i="5"/>
  <c r="I895" i="5"/>
  <c r="C895" i="5"/>
  <c r="I894" i="5"/>
  <c r="C894" i="5"/>
  <c r="I893" i="5"/>
  <c r="C893" i="5"/>
  <c r="I892" i="5"/>
  <c r="C892" i="5"/>
  <c r="I891" i="5"/>
  <c r="C891" i="5"/>
  <c r="I890" i="5"/>
  <c r="C890" i="5"/>
  <c r="I889" i="5"/>
  <c r="C889" i="5"/>
  <c r="I888" i="5"/>
  <c r="C888" i="5"/>
  <c r="I887" i="5"/>
  <c r="C887" i="5"/>
  <c r="I886" i="5"/>
  <c r="C886" i="5"/>
  <c r="I885" i="5"/>
  <c r="C885" i="5"/>
  <c r="I884" i="5"/>
  <c r="C884" i="5"/>
  <c r="I883" i="5"/>
  <c r="C883" i="5"/>
  <c r="I882" i="5"/>
  <c r="C882" i="5"/>
  <c r="I881" i="5"/>
  <c r="C881" i="5"/>
  <c r="I880" i="5"/>
  <c r="C880" i="5"/>
  <c r="I879" i="5"/>
  <c r="C879" i="5"/>
  <c r="I878" i="5"/>
  <c r="C878" i="5"/>
  <c r="I877" i="5"/>
  <c r="C877" i="5"/>
  <c r="I876" i="5"/>
  <c r="C876" i="5"/>
  <c r="I875" i="5"/>
  <c r="C875" i="5"/>
  <c r="I874" i="5"/>
  <c r="C874" i="5"/>
  <c r="I873" i="5"/>
  <c r="C873" i="5"/>
  <c r="I872" i="5"/>
  <c r="C872" i="5"/>
  <c r="I871" i="5"/>
  <c r="C871" i="5"/>
  <c r="I870" i="5"/>
  <c r="C870" i="5"/>
  <c r="I869" i="5"/>
  <c r="C869" i="5"/>
  <c r="I868" i="5"/>
  <c r="C868" i="5"/>
  <c r="I867" i="5"/>
  <c r="C867" i="5"/>
  <c r="I866" i="5"/>
  <c r="C866" i="5"/>
  <c r="I865" i="5"/>
  <c r="C865" i="5"/>
  <c r="I864" i="5"/>
  <c r="C864" i="5"/>
  <c r="I863" i="5"/>
  <c r="C863" i="5"/>
  <c r="I862" i="5"/>
  <c r="C862" i="5"/>
  <c r="I861" i="5"/>
  <c r="C861" i="5"/>
  <c r="I860" i="5"/>
  <c r="C860" i="5"/>
  <c r="I859" i="5"/>
  <c r="C859" i="5"/>
  <c r="I858" i="5"/>
  <c r="C858" i="5"/>
  <c r="I857" i="5"/>
  <c r="C857" i="5"/>
  <c r="I856" i="5"/>
  <c r="C856" i="5"/>
  <c r="I855" i="5"/>
  <c r="C855" i="5"/>
  <c r="I854" i="5"/>
  <c r="C854" i="5"/>
  <c r="I853" i="5"/>
  <c r="C853" i="5"/>
  <c r="I852" i="5"/>
  <c r="C852" i="5"/>
  <c r="I851" i="5"/>
  <c r="C851" i="5"/>
  <c r="I850" i="5"/>
  <c r="C850" i="5"/>
  <c r="I849" i="5"/>
  <c r="C849" i="5"/>
  <c r="I848" i="5"/>
  <c r="C848" i="5"/>
  <c r="I847" i="5"/>
  <c r="C847" i="5"/>
  <c r="I846" i="5"/>
  <c r="C846" i="5"/>
  <c r="I845" i="5"/>
  <c r="C845" i="5"/>
  <c r="I844" i="5"/>
  <c r="C844" i="5"/>
  <c r="I843" i="5"/>
  <c r="C843" i="5"/>
  <c r="I842" i="5"/>
  <c r="C842" i="5"/>
  <c r="I841" i="5"/>
  <c r="C841" i="5"/>
  <c r="I840" i="5"/>
  <c r="C840" i="5"/>
  <c r="I839" i="5"/>
  <c r="C839" i="5"/>
  <c r="I838" i="5"/>
  <c r="C838" i="5"/>
  <c r="I837" i="5"/>
  <c r="C837" i="5"/>
  <c r="I836" i="5"/>
  <c r="C836" i="5"/>
  <c r="I835" i="5"/>
  <c r="C835" i="5"/>
  <c r="I834" i="5"/>
  <c r="C834" i="5"/>
  <c r="I833" i="5"/>
  <c r="C833" i="5"/>
  <c r="I832" i="5"/>
  <c r="C832" i="5"/>
  <c r="I831" i="5"/>
  <c r="C831" i="5"/>
  <c r="I830" i="5"/>
  <c r="C830" i="5"/>
  <c r="I829" i="5"/>
  <c r="C829" i="5"/>
  <c r="I828" i="5"/>
  <c r="C828" i="5"/>
  <c r="I827" i="5"/>
  <c r="C827" i="5"/>
  <c r="I826" i="5"/>
  <c r="C826" i="5"/>
  <c r="I825" i="5"/>
  <c r="C825" i="5"/>
  <c r="I824" i="5"/>
  <c r="C824" i="5"/>
  <c r="I823" i="5"/>
  <c r="C823" i="5"/>
  <c r="I822" i="5"/>
  <c r="C822" i="5"/>
  <c r="I821" i="5"/>
  <c r="C821" i="5"/>
  <c r="I820" i="5"/>
  <c r="C820" i="5"/>
  <c r="I819" i="5"/>
  <c r="C819" i="5"/>
  <c r="I818" i="5"/>
  <c r="C818" i="5"/>
  <c r="I817" i="5"/>
  <c r="C817" i="5"/>
  <c r="I816" i="5"/>
  <c r="C816" i="5"/>
  <c r="I815" i="5"/>
  <c r="C815" i="5"/>
  <c r="I814" i="5"/>
  <c r="C814" i="5"/>
  <c r="I813" i="5"/>
  <c r="C813" i="5"/>
  <c r="I812" i="5"/>
  <c r="C812" i="5"/>
  <c r="I811" i="5"/>
  <c r="C811" i="5"/>
  <c r="I810" i="5"/>
  <c r="C810" i="5"/>
  <c r="I809" i="5"/>
  <c r="C809" i="5"/>
  <c r="I808" i="5"/>
  <c r="C808" i="5"/>
  <c r="I807" i="5"/>
  <c r="C807" i="5"/>
  <c r="I806" i="5"/>
  <c r="C806" i="5"/>
  <c r="I805" i="5"/>
  <c r="C805" i="5"/>
  <c r="I804" i="5"/>
  <c r="C804" i="5"/>
  <c r="I803" i="5"/>
  <c r="C803" i="5"/>
  <c r="I802" i="5"/>
  <c r="C802" i="5"/>
  <c r="I801" i="5"/>
  <c r="C801" i="5"/>
  <c r="I800" i="5"/>
  <c r="C800" i="5"/>
  <c r="I799" i="5"/>
  <c r="C799" i="5"/>
  <c r="I798" i="5"/>
  <c r="C798" i="5"/>
  <c r="I797" i="5"/>
  <c r="C797" i="5"/>
  <c r="I796" i="5"/>
  <c r="C796" i="5"/>
  <c r="I795" i="5"/>
  <c r="C795" i="5"/>
  <c r="I794" i="5"/>
  <c r="C794" i="5"/>
  <c r="I793" i="5"/>
  <c r="C793" i="5"/>
  <c r="I792" i="5"/>
  <c r="C792" i="5"/>
  <c r="I791" i="5"/>
  <c r="C791" i="5"/>
  <c r="I790" i="5"/>
  <c r="C790" i="5"/>
  <c r="I789" i="5"/>
  <c r="C789" i="5"/>
  <c r="I788" i="5"/>
  <c r="C788" i="5"/>
  <c r="I787" i="5"/>
  <c r="C787" i="5"/>
  <c r="I786" i="5"/>
  <c r="C786" i="5"/>
  <c r="I785" i="5"/>
  <c r="C785" i="5"/>
  <c r="I784" i="5"/>
  <c r="C784" i="5"/>
  <c r="I783" i="5"/>
  <c r="C783" i="5"/>
  <c r="I782" i="5"/>
  <c r="C782" i="5"/>
  <c r="I781" i="5"/>
  <c r="C781" i="5"/>
  <c r="I780" i="5"/>
  <c r="C780" i="5"/>
  <c r="I779" i="5"/>
  <c r="C779" i="5"/>
  <c r="I778" i="5"/>
  <c r="C778" i="5"/>
  <c r="I777" i="5"/>
  <c r="C777" i="5"/>
  <c r="I776" i="5"/>
  <c r="C776" i="5"/>
  <c r="I775" i="5"/>
  <c r="C775" i="5"/>
  <c r="I774" i="5"/>
  <c r="C774" i="5"/>
  <c r="I773" i="5"/>
  <c r="C773" i="5"/>
  <c r="I772" i="5"/>
  <c r="C772" i="5"/>
  <c r="I771" i="5"/>
  <c r="C771" i="5"/>
  <c r="I770" i="5"/>
  <c r="C770" i="5"/>
  <c r="I769" i="5"/>
  <c r="C769" i="5"/>
  <c r="I768" i="5"/>
  <c r="C768" i="5"/>
  <c r="I767" i="5"/>
  <c r="C767" i="5"/>
  <c r="I766" i="5"/>
  <c r="C766" i="5"/>
  <c r="I765" i="5"/>
  <c r="C765" i="5"/>
  <c r="I764" i="5"/>
  <c r="C764" i="5"/>
  <c r="I763" i="5"/>
  <c r="C763" i="5"/>
  <c r="I762" i="5"/>
  <c r="C762" i="5"/>
  <c r="I761" i="5"/>
  <c r="C761" i="5"/>
  <c r="I760" i="5"/>
  <c r="C760" i="5"/>
  <c r="I759" i="5"/>
  <c r="C759" i="5"/>
  <c r="I758" i="5"/>
  <c r="C758" i="5"/>
  <c r="I757" i="5"/>
  <c r="C757" i="5"/>
  <c r="I756" i="5"/>
  <c r="C756" i="5"/>
  <c r="I755" i="5"/>
  <c r="C755" i="5"/>
  <c r="I754" i="5"/>
  <c r="C754" i="5"/>
  <c r="I753" i="5"/>
  <c r="C753" i="5"/>
  <c r="I752" i="5"/>
  <c r="C752" i="5"/>
  <c r="I751" i="5"/>
  <c r="C751" i="5"/>
  <c r="I750" i="5"/>
  <c r="C750" i="5"/>
  <c r="I749" i="5"/>
  <c r="C749" i="5"/>
  <c r="I748" i="5"/>
  <c r="C748" i="5"/>
  <c r="I747" i="5"/>
  <c r="C747" i="5"/>
  <c r="I746" i="5"/>
  <c r="C746" i="5"/>
  <c r="I745" i="5"/>
  <c r="C745" i="5"/>
  <c r="I744" i="5"/>
  <c r="C744" i="5"/>
  <c r="I743" i="5"/>
  <c r="C743" i="5"/>
  <c r="I742" i="5"/>
  <c r="C742" i="5"/>
  <c r="I741" i="5"/>
  <c r="C741" i="5"/>
  <c r="I740" i="5"/>
  <c r="C740" i="5"/>
  <c r="I739" i="5"/>
  <c r="C739" i="5"/>
  <c r="I738" i="5"/>
  <c r="C738" i="5"/>
  <c r="I737" i="5"/>
  <c r="C737" i="5"/>
  <c r="I736" i="5"/>
  <c r="C736" i="5"/>
  <c r="I735" i="5"/>
  <c r="C735" i="5"/>
  <c r="I734" i="5"/>
  <c r="C734" i="5"/>
  <c r="I733" i="5"/>
  <c r="C733" i="5"/>
  <c r="I732" i="5"/>
  <c r="C732" i="5"/>
  <c r="I731" i="5"/>
  <c r="C731" i="5"/>
  <c r="I730" i="5"/>
  <c r="C730" i="5"/>
  <c r="I729" i="5"/>
  <c r="C729" i="5"/>
  <c r="I728" i="5"/>
  <c r="C728" i="5"/>
  <c r="I727" i="5"/>
  <c r="C727" i="5"/>
  <c r="I726" i="5"/>
  <c r="C726" i="5"/>
  <c r="I725" i="5"/>
  <c r="C725" i="5"/>
  <c r="I724" i="5"/>
  <c r="C724" i="5"/>
  <c r="I723" i="5"/>
  <c r="C723" i="5"/>
  <c r="I722" i="5"/>
  <c r="C722" i="5"/>
  <c r="I721" i="5"/>
  <c r="C721" i="5"/>
  <c r="I720" i="5"/>
  <c r="C720" i="5"/>
  <c r="I719" i="5"/>
  <c r="C719" i="5"/>
  <c r="I718" i="5"/>
  <c r="C718" i="5"/>
  <c r="I717" i="5"/>
  <c r="C717" i="5"/>
  <c r="I716" i="5"/>
  <c r="C716" i="5"/>
  <c r="I715" i="5"/>
  <c r="C715" i="5"/>
  <c r="I714" i="5"/>
  <c r="C714" i="5"/>
  <c r="I713" i="5"/>
  <c r="C713" i="5"/>
  <c r="I712" i="5"/>
  <c r="C712" i="5"/>
  <c r="I711" i="5"/>
  <c r="C711" i="5"/>
  <c r="I710" i="5"/>
  <c r="C710" i="5"/>
  <c r="I709" i="5"/>
  <c r="C709" i="5"/>
  <c r="I708" i="5"/>
  <c r="C708" i="5"/>
  <c r="I707" i="5"/>
  <c r="C707" i="5"/>
  <c r="I706" i="5"/>
  <c r="C706" i="5"/>
  <c r="I705" i="5"/>
  <c r="C705" i="5"/>
  <c r="I704" i="5"/>
  <c r="C704" i="5"/>
  <c r="I703" i="5"/>
  <c r="C703" i="5"/>
  <c r="I702" i="5"/>
  <c r="C702" i="5"/>
  <c r="I701" i="5"/>
  <c r="C701" i="5"/>
  <c r="I700" i="5"/>
  <c r="C700" i="5"/>
  <c r="I699" i="5"/>
  <c r="C699" i="5"/>
  <c r="I698" i="5"/>
  <c r="C698" i="5"/>
  <c r="I697" i="5"/>
  <c r="C697" i="5"/>
  <c r="I696" i="5"/>
  <c r="C696" i="5"/>
  <c r="I695" i="5"/>
  <c r="C695" i="5"/>
  <c r="I694" i="5"/>
  <c r="C694" i="5"/>
  <c r="I693" i="5"/>
  <c r="C693" i="5"/>
  <c r="I692" i="5"/>
  <c r="C692" i="5"/>
  <c r="I691" i="5"/>
  <c r="C691" i="5"/>
  <c r="I690" i="5"/>
  <c r="C690" i="5"/>
  <c r="I689" i="5"/>
  <c r="C689" i="5"/>
  <c r="I688" i="5"/>
  <c r="C688" i="5"/>
  <c r="I687" i="5"/>
  <c r="C687" i="5"/>
  <c r="I686" i="5"/>
  <c r="C686" i="5"/>
  <c r="I685" i="5"/>
  <c r="C685" i="5"/>
  <c r="I684" i="5"/>
  <c r="C684" i="5"/>
  <c r="I683" i="5"/>
  <c r="C683" i="5"/>
  <c r="I682" i="5"/>
  <c r="C682" i="5"/>
  <c r="I681" i="5"/>
  <c r="C681" i="5"/>
  <c r="I680" i="5"/>
  <c r="C680" i="5"/>
  <c r="I679" i="5"/>
  <c r="C679" i="5"/>
  <c r="I678" i="5"/>
  <c r="C678" i="5"/>
  <c r="I677" i="5"/>
  <c r="C677" i="5"/>
  <c r="I676" i="5"/>
  <c r="C676" i="5"/>
  <c r="I675" i="5"/>
  <c r="C675" i="5"/>
  <c r="I674" i="5"/>
  <c r="C674" i="5"/>
  <c r="I673" i="5"/>
  <c r="C673" i="5"/>
  <c r="I672" i="5"/>
  <c r="C672" i="5"/>
  <c r="I671" i="5"/>
  <c r="C671" i="5"/>
  <c r="I670" i="5"/>
  <c r="C670" i="5"/>
  <c r="I669" i="5"/>
  <c r="C669" i="5"/>
  <c r="I668" i="5"/>
  <c r="C668" i="5"/>
  <c r="I667" i="5"/>
  <c r="C667" i="5"/>
  <c r="I666" i="5"/>
  <c r="C666" i="5"/>
  <c r="I665" i="5"/>
  <c r="C665" i="5"/>
  <c r="I664" i="5"/>
  <c r="C664" i="5"/>
  <c r="I663" i="5"/>
  <c r="C663" i="5"/>
  <c r="I662" i="5"/>
  <c r="C662" i="5"/>
  <c r="I661" i="5"/>
  <c r="C661" i="5"/>
  <c r="I660" i="5"/>
  <c r="C660" i="5"/>
  <c r="I659" i="5"/>
  <c r="C659" i="5"/>
  <c r="I658" i="5"/>
  <c r="C658" i="5"/>
  <c r="I657" i="5"/>
  <c r="C657" i="5"/>
  <c r="I656" i="5"/>
  <c r="C656" i="5"/>
  <c r="I655" i="5"/>
  <c r="C655" i="5"/>
  <c r="I654" i="5"/>
  <c r="C654" i="5"/>
  <c r="I653" i="5"/>
  <c r="C653" i="5"/>
  <c r="I652" i="5"/>
  <c r="C652" i="5"/>
  <c r="I651" i="5"/>
  <c r="C651" i="5"/>
  <c r="I650" i="5"/>
  <c r="C650" i="5"/>
  <c r="I649" i="5"/>
  <c r="C649" i="5"/>
  <c r="I648" i="5"/>
  <c r="C648" i="5"/>
  <c r="I647" i="5"/>
  <c r="C647" i="5"/>
  <c r="I646" i="5"/>
  <c r="C646" i="5"/>
  <c r="I645" i="5"/>
  <c r="C645" i="5"/>
  <c r="I644" i="5"/>
  <c r="C644" i="5"/>
  <c r="I643" i="5"/>
  <c r="C643" i="5"/>
  <c r="I642" i="5"/>
  <c r="C642" i="5"/>
  <c r="I641" i="5"/>
  <c r="C641" i="5"/>
  <c r="I640" i="5"/>
  <c r="C640" i="5"/>
  <c r="I639" i="5"/>
  <c r="C639" i="5"/>
  <c r="I638" i="5"/>
  <c r="C638" i="5"/>
  <c r="I637" i="5"/>
  <c r="C637" i="5"/>
  <c r="I636" i="5"/>
  <c r="C636" i="5"/>
  <c r="I635" i="5"/>
  <c r="C635" i="5"/>
  <c r="I634" i="5"/>
  <c r="C634" i="5"/>
  <c r="I633" i="5"/>
  <c r="C633" i="5"/>
  <c r="I632" i="5"/>
  <c r="C632" i="5"/>
  <c r="I631" i="5"/>
  <c r="C631" i="5"/>
  <c r="I630" i="5"/>
  <c r="C630" i="5"/>
  <c r="I629" i="5"/>
  <c r="C629" i="5"/>
  <c r="I628" i="5"/>
  <c r="C628" i="5"/>
  <c r="I627" i="5"/>
  <c r="C627" i="5"/>
  <c r="I626" i="5"/>
  <c r="C626" i="5"/>
  <c r="I625" i="5"/>
  <c r="C625" i="5"/>
  <c r="I624" i="5"/>
  <c r="C624" i="5"/>
  <c r="I623" i="5"/>
  <c r="C623" i="5"/>
  <c r="I622" i="5"/>
  <c r="C622" i="5"/>
  <c r="I621" i="5"/>
  <c r="C621" i="5"/>
  <c r="I620" i="5"/>
  <c r="C620" i="5"/>
  <c r="I619" i="5"/>
  <c r="C619" i="5"/>
  <c r="I618" i="5"/>
  <c r="C618" i="5"/>
  <c r="I617" i="5"/>
  <c r="C617" i="5"/>
  <c r="I616" i="5"/>
  <c r="C616" i="5"/>
  <c r="I615" i="5"/>
  <c r="C615" i="5"/>
  <c r="I614" i="5"/>
  <c r="C614" i="5"/>
  <c r="I613" i="5"/>
  <c r="C613" i="5"/>
  <c r="I612" i="5"/>
  <c r="C612" i="5"/>
  <c r="I611" i="5"/>
  <c r="C611" i="5"/>
  <c r="I610" i="5"/>
  <c r="C610" i="5"/>
  <c r="I609" i="5"/>
  <c r="C609" i="5"/>
  <c r="I608" i="5"/>
  <c r="C608" i="5"/>
  <c r="I607" i="5"/>
  <c r="C607" i="5"/>
  <c r="I606" i="5"/>
  <c r="C606" i="5"/>
  <c r="I605" i="5"/>
  <c r="C605" i="5"/>
  <c r="I604" i="5"/>
  <c r="C604" i="5"/>
  <c r="I603" i="5"/>
  <c r="C603" i="5"/>
  <c r="I602" i="5"/>
  <c r="C602" i="5"/>
  <c r="I601" i="5"/>
  <c r="C601" i="5"/>
  <c r="I600" i="5"/>
  <c r="C600" i="5"/>
  <c r="I599" i="5"/>
  <c r="C599" i="5"/>
  <c r="I598" i="5"/>
  <c r="C598" i="5"/>
  <c r="I597" i="5"/>
  <c r="C597" i="5"/>
  <c r="I596" i="5"/>
  <c r="C596" i="5"/>
  <c r="I595" i="5"/>
  <c r="C595" i="5"/>
  <c r="I594" i="5"/>
  <c r="C594" i="5"/>
  <c r="I593" i="5"/>
  <c r="C593" i="5"/>
  <c r="I592" i="5"/>
  <c r="C592" i="5"/>
  <c r="I591" i="5"/>
  <c r="C591" i="5"/>
  <c r="I590" i="5"/>
  <c r="C590" i="5"/>
  <c r="I589" i="5"/>
  <c r="C589" i="5"/>
  <c r="I588" i="5"/>
  <c r="C588" i="5"/>
  <c r="I587" i="5"/>
  <c r="C587" i="5"/>
  <c r="I586" i="5"/>
  <c r="C586" i="5"/>
  <c r="I585" i="5"/>
  <c r="C585" i="5"/>
  <c r="I584" i="5"/>
  <c r="C584" i="5"/>
  <c r="I583" i="5"/>
  <c r="C583" i="5"/>
  <c r="I582" i="5"/>
  <c r="C582" i="5"/>
  <c r="I581" i="5"/>
  <c r="C581" i="5"/>
  <c r="I580" i="5"/>
  <c r="C580" i="5"/>
  <c r="I579" i="5"/>
  <c r="C579" i="5"/>
  <c r="I578" i="5"/>
  <c r="C578" i="5"/>
  <c r="I577" i="5"/>
  <c r="C577" i="5"/>
  <c r="I576" i="5"/>
  <c r="C576" i="5"/>
  <c r="I575" i="5"/>
  <c r="C575" i="5"/>
  <c r="I574" i="5"/>
  <c r="C574" i="5"/>
  <c r="I573" i="5"/>
  <c r="C573" i="5"/>
  <c r="I572" i="5"/>
  <c r="C572" i="5"/>
  <c r="I571" i="5"/>
  <c r="C571" i="5"/>
  <c r="I570" i="5"/>
  <c r="C570" i="5"/>
  <c r="I569" i="5"/>
  <c r="C569" i="5"/>
  <c r="I568" i="5"/>
  <c r="C568" i="5"/>
  <c r="I567" i="5"/>
  <c r="C567" i="5"/>
  <c r="I566" i="5"/>
  <c r="C566" i="5"/>
  <c r="I565" i="5"/>
  <c r="C565" i="5"/>
  <c r="I564" i="5"/>
  <c r="C564" i="5"/>
  <c r="I563" i="5"/>
  <c r="C563" i="5"/>
  <c r="I562" i="5"/>
  <c r="C562" i="5"/>
  <c r="I561" i="5"/>
  <c r="C561" i="5"/>
  <c r="I560" i="5"/>
  <c r="C560" i="5"/>
  <c r="I559" i="5"/>
  <c r="C559" i="5"/>
  <c r="I558" i="5"/>
  <c r="C558" i="5"/>
  <c r="I557" i="5"/>
  <c r="C557" i="5"/>
  <c r="I556" i="5"/>
  <c r="C556" i="5"/>
  <c r="I555" i="5"/>
  <c r="C555" i="5"/>
  <c r="I554" i="5"/>
  <c r="C554" i="5"/>
  <c r="I553" i="5"/>
  <c r="C553" i="5"/>
  <c r="I552" i="5"/>
  <c r="C552" i="5"/>
  <c r="I551" i="5"/>
  <c r="C551" i="5"/>
  <c r="I550" i="5"/>
  <c r="C550" i="5"/>
  <c r="I549" i="5"/>
  <c r="C549" i="5"/>
  <c r="I548" i="5"/>
  <c r="C548" i="5"/>
  <c r="I547" i="5"/>
  <c r="C547" i="5"/>
  <c r="I546" i="5"/>
  <c r="C546" i="5"/>
  <c r="I545" i="5"/>
  <c r="C545" i="5"/>
  <c r="I544" i="5"/>
  <c r="C544" i="5"/>
  <c r="I543" i="5"/>
  <c r="C543" i="5"/>
  <c r="I542" i="5"/>
  <c r="C542" i="5"/>
  <c r="I541" i="5"/>
  <c r="C541" i="5"/>
  <c r="I540" i="5"/>
  <c r="C540" i="5"/>
  <c r="I539" i="5"/>
  <c r="C539" i="5"/>
  <c r="I538" i="5"/>
  <c r="C538" i="5"/>
  <c r="I537" i="5"/>
  <c r="C537" i="5"/>
  <c r="I536" i="5"/>
  <c r="C536" i="5"/>
  <c r="I535" i="5"/>
  <c r="C535" i="5"/>
  <c r="I534" i="5"/>
  <c r="C534" i="5"/>
  <c r="I533" i="5"/>
  <c r="C533" i="5"/>
  <c r="I532" i="5"/>
  <c r="C532" i="5"/>
  <c r="I531" i="5"/>
  <c r="C531" i="5"/>
  <c r="I530" i="5"/>
  <c r="C530" i="5"/>
  <c r="I529" i="5"/>
  <c r="C529" i="5"/>
  <c r="I528" i="5"/>
  <c r="C528" i="5"/>
  <c r="I527" i="5"/>
  <c r="C527" i="5"/>
  <c r="I526" i="5"/>
  <c r="C526" i="5"/>
  <c r="I525" i="5"/>
  <c r="C525" i="5"/>
  <c r="I524" i="5"/>
  <c r="C524" i="5"/>
  <c r="I523" i="5"/>
  <c r="C523" i="5"/>
  <c r="I522" i="5"/>
  <c r="C522" i="5"/>
  <c r="I521" i="5"/>
  <c r="C521" i="5"/>
  <c r="I520" i="5"/>
  <c r="C520" i="5"/>
  <c r="I519" i="5"/>
  <c r="C519" i="5"/>
  <c r="I518" i="5"/>
  <c r="C518" i="5"/>
  <c r="I517" i="5"/>
  <c r="C517" i="5"/>
  <c r="I516" i="5"/>
  <c r="C516" i="5"/>
  <c r="I515" i="5"/>
  <c r="C515" i="5"/>
  <c r="I514" i="5"/>
  <c r="C514" i="5"/>
  <c r="I513" i="5"/>
  <c r="C513" i="5"/>
  <c r="I512" i="5"/>
  <c r="C512" i="5"/>
  <c r="I511" i="5"/>
  <c r="C511" i="5"/>
  <c r="I510" i="5"/>
  <c r="C510" i="5"/>
  <c r="I509" i="5"/>
  <c r="C509" i="5"/>
  <c r="I508" i="5"/>
  <c r="C508" i="5"/>
  <c r="I507" i="5"/>
  <c r="C507" i="5"/>
  <c r="I506" i="5"/>
  <c r="C506" i="5"/>
  <c r="I505" i="5"/>
  <c r="C505" i="5"/>
  <c r="I504" i="5"/>
  <c r="C504" i="5"/>
  <c r="I503" i="5"/>
  <c r="C503" i="5"/>
  <c r="I502" i="5"/>
  <c r="C502" i="5"/>
  <c r="I501" i="5"/>
  <c r="C501" i="5"/>
  <c r="I500" i="5"/>
  <c r="C500" i="5"/>
  <c r="I499" i="5"/>
  <c r="C499" i="5"/>
  <c r="I498" i="5"/>
  <c r="C498" i="5"/>
  <c r="I497" i="5"/>
  <c r="C497" i="5"/>
  <c r="I496" i="5"/>
  <c r="C496" i="5"/>
  <c r="I495" i="5"/>
  <c r="C495" i="5"/>
  <c r="I494" i="5"/>
  <c r="C494" i="5"/>
  <c r="I493" i="5"/>
  <c r="C493" i="5"/>
  <c r="I492" i="5"/>
  <c r="C492" i="5"/>
  <c r="I491" i="5"/>
  <c r="C491" i="5"/>
  <c r="I490" i="5"/>
  <c r="C490" i="5"/>
  <c r="I489" i="5"/>
  <c r="C489" i="5"/>
  <c r="I488" i="5"/>
  <c r="C488" i="5"/>
  <c r="I487" i="5"/>
  <c r="C487" i="5"/>
  <c r="I486" i="5"/>
  <c r="C486" i="5"/>
  <c r="I485" i="5"/>
  <c r="C485" i="5"/>
  <c r="I484" i="5"/>
  <c r="C484" i="5"/>
  <c r="I483" i="5"/>
  <c r="C483" i="5"/>
  <c r="I482" i="5"/>
  <c r="C482" i="5"/>
  <c r="I481" i="5"/>
  <c r="C481" i="5"/>
  <c r="I480" i="5"/>
  <c r="C480" i="5"/>
  <c r="I479" i="5"/>
  <c r="C479" i="5"/>
  <c r="I478" i="5"/>
  <c r="C478" i="5"/>
  <c r="I477" i="5"/>
  <c r="C477" i="5"/>
  <c r="I476" i="5"/>
  <c r="C476" i="5"/>
  <c r="I475" i="5"/>
  <c r="C475" i="5"/>
  <c r="I474" i="5"/>
  <c r="C474" i="5"/>
  <c r="I473" i="5"/>
  <c r="C473" i="5"/>
  <c r="I472" i="5"/>
  <c r="C472" i="5"/>
  <c r="I471" i="5"/>
  <c r="C471" i="5"/>
  <c r="I470" i="5"/>
  <c r="C470" i="5"/>
  <c r="I469" i="5"/>
  <c r="C469" i="5"/>
  <c r="I468" i="5"/>
  <c r="C468" i="5"/>
  <c r="I467" i="5"/>
  <c r="C467" i="5"/>
  <c r="I466" i="5"/>
  <c r="C466" i="5"/>
  <c r="I465" i="5"/>
  <c r="C465" i="5"/>
  <c r="I464" i="5"/>
  <c r="C464" i="5"/>
  <c r="I463" i="5"/>
  <c r="C463" i="5"/>
  <c r="I462" i="5"/>
  <c r="C462" i="5"/>
  <c r="I461" i="5"/>
  <c r="C461" i="5"/>
  <c r="I460" i="5"/>
  <c r="C460" i="5"/>
  <c r="I459" i="5"/>
  <c r="C459" i="5"/>
  <c r="I458" i="5"/>
  <c r="C458" i="5"/>
  <c r="I457" i="5"/>
  <c r="C457" i="5"/>
  <c r="I456" i="5"/>
  <c r="C456" i="5"/>
  <c r="I455" i="5"/>
  <c r="C455" i="5"/>
  <c r="I454" i="5"/>
  <c r="C454" i="5"/>
  <c r="I453" i="5"/>
  <c r="C453" i="5"/>
  <c r="I452" i="5"/>
  <c r="C452" i="5"/>
  <c r="I451" i="5"/>
  <c r="C451" i="5"/>
  <c r="I450" i="5"/>
  <c r="C450" i="5"/>
  <c r="I449" i="5"/>
  <c r="C449" i="5"/>
  <c r="I448" i="5"/>
  <c r="C448" i="5"/>
  <c r="I447" i="5"/>
  <c r="C447" i="5"/>
  <c r="I446" i="5"/>
  <c r="C446" i="5"/>
  <c r="I445" i="5"/>
  <c r="C445" i="5"/>
  <c r="I444" i="5"/>
  <c r="C444" i="5"/>
  <c r="I443" i="5"/>
  <c r="C443" i="5"/>
  <c r="I442" i="5"/>
  <c r="C442" i="5"/>
  <c r="I441" i="5"/>
  <c r="C441" i="5"/>
  <c r="I440" i="5"/>
  <c r="C440" i="5"/>
  <c r="I439" i="5"/>
  <c r="C439" i="5"/>
  <c r="I438" i="5"/>
  <c r="C438" i="5"/>
  <c r="I437" i="5"/>
  <c r="C437" i="5"/>
  <c r="I436" i="5"/>
  <c r="C436" i="5"/>
  <c r="I435" i="5"/>
  <c r="C435" i="5"/>
  <c r="I434" i="5"/>
  <c r="C434" i="5"/>
  <c r="I433" i="5"/>
  <c r="C433" i="5"/>
  <c r="I432" i="5"/>
  <c r="C432" i="5"/>
  <c r="I431" i="5"/>
  <c r="C431" i="5"/>
  <c r="I430" i="5"/>
  <c r="C430" i="5"/>
  <c r="I429" i="5"/>
  <c r="C429" i="5"/>
  <c r="I428" i="5"/>
  <c r="C428" i="5"/>
  <c r="I427" i="5"/>
  <c r="C427" i="5"/>
  <c r="I426" i="5"/>
  <c r="C426" i="5"/>
  <c r="I425" i="5"/>
  <c r="C425" i="5"/>
  <c r="I424" i="5"/>
  <c r="C424" i="5"/>
  <c r="I423" i="5"/>
  <c r="C423" i="5"/>
  <c r="I422" i="5"/>
  <c r="C422" i="5"/>
  <c r="I421" i="5"/>
  <c r="C421" i="5"/>
  <c r="I420" i="5"/>
  <c r="C420" i="5"/>
  <c r="I419" i="5"/>
  <c r="C419" i="5"/>
  <c r="I418" i="5"/>
  <c r="C418" i="5"/>
  <c r="I417" i="5"/>
  <c r="C417" i="5"/>
  <c r="I416" i="5"/>
  <c r="C416" i="5"/>
  <c r="I415" i="5"/>
  <c r="C415" i="5"/>
  <c r="I414" i="5"/>
  <c r="C414" i="5"/>
  <c r="I413" i="5"/>
  <c r="C413" i="5"/>
  <c r="I412" i="5"/>
  <c r="C412" i="5"/>
  <c r="I411" i="5"/>
  <c r="C411" i="5"/>
  <c r="I410" i="5"/>
  <c r="C410" i="5"/>
  <c r="I409" i="5"/>
  <c r="C409" i="5"/>
  <c r="I408" i="5"/>
  <c r="C408" i="5"/>
  <c r="I407" i="5"/>
  <c r="C407" i="5"/>
  <c r="I406" i="5"/>
  <c r="C406" i="5"/>
  <c r="I405" i="5"/>
  <c r="C405" i="5"/>
  <c r="I404" i="5"/>
  <c r="C404" i="5"/>
  <c r="I403" i="5"/>
  <c r="C403" i="5"/>
  <c r="I402" i="5"/>
  <c r="C402" i="5"/>
  <c r="I401" i="5"/>
  <c r="C401" i="5"/>
  <c r="I400" i="5"/>
  <c r="C400" i="5"/>
  <c r="I399" i="5"/>
  <c r="C399" i="5"/>
  <c r="I398" i="5"/>
  <c r="C398" i="5"/>
  <c r="I397" i="5"/>
  <c r="C397" i="5"/>
  <c r="I396" i="5"/>
  <c r="C396" i="5"/>
  <c r="I395" i="5"/>
  <c r="C395" i="5"/>
  <c r="I394" i="5"/>
  <c r="C394" i="5"/>
  <c r="I393" i="5"/>
  <c r="C393" i="5"/>
  <c r="I392" i="5"/>
  <c r="C392" i="5"/>
  <c r="I391" i="5"/>
  <c r="C391" i="5"/>
  <c r="I390" i="5"/>
  <c r="C390" i="5"/>
  <c r="I389" i="5"/>
  <c r="C389" i="5"/>
  <c r="I388" i="5"/>
  <c r="C388" i="5"/>
  <c r="I387" i="5"/>
  <c r="C387" i="5"/>
  <c r="I386" i="5"/>
  <c r="C386" i="5"/>
  <c r="I385" i="5"/>
  <c r="C385" i="5"/>
  <c r="I384" i="5"/>
  <c r="C384" i="5"/>
  <c r="I383" i="5"/>
  <c r="C383" i="5"/>
  <c r="I382" i="5"/>
  <c r="C382" i="5"/>
  <c r="I381" i="5"/>
  <c r="C381" i="5"/>
  <c r="I380" i="5"/>
  <c r="C380" i="5"/>
  <c r="I379" i="5"/>
  <c r="C379" i="5"/>
  <c r="I378" i="5"/>
  <c r="C378" i="5"/>
  <c r="I377" i="5"/>
  <c r="C377" i="5"/>
  <c r="I376" i="5"/>
  <c r="C376" i="5"/>
  <c r="I375" i="5"/>
  <c r="C375" i="5"/>
  <c r="I374" i="5"/>
  <c r="C374" i="5"/>
  <c r="I373" i="5"/>
  <c r="C373" i="5"/>
  <c r="I372" i="5"/>
  <c r="C372" i="5"/>
  <c r="I371" i="5"/>
  <c r="C371" i="5"/>
  <c r="I370" i="5"/>
  <c r="C370" i="5"/>
  <c r="I369" i="5"/>
  <c r="C369" i="5"/>
  <c r="I368" i="5"/>
  <c r="C368" i="5"/>
  <c r="I367" i="5"/>
  <c r="C367" i="5"/>
  <c r="I366" i="5"/>
  <c r="C366" i="5"/>
  <c r="I365" i="5"/>
  <c r="C365" i="5"/>
  <c r="I364" i="5"/>
  <c r="C364" i="5"/>
  <c r="I363" i="5"/>
  <c r="C363" i="5"/>
  <c r="I362" i="5"/>
  <c r="C362" i="5"/>
  <c r="I361" i="5"/>
  <c r="C361" i="5"/>
  <c r="I360" i="5"/>
  <c r="C360" i="5"/>
  <c r="I359" i="5"/>
  <c r="C359" i="5"/>
  <c r="I358" i="5"/>
  <c r="C358" i="5"/>
  <c r="I357" i="5"/>
  <c r="C357" i="5"/>
  <c r="I356" i="5"/>
  <c r="C356" i="5"/>
  <c r="I355" i="5"/>
  <c r="C355" i="5"/>
  <c r="I354" i="5"/>
  <c r="C354" i="5"/>
  <c r="I353" i="5"/>
  <c r="C353" i="5"/>
  <c r="I352" i="5"/>
  <c r="C352" i="5"/>
  <c r="I351" i="5"/>
  <c r="C351" i="5"/>
  <c r="I350" i="5"/>
  <c r="C350" i="5"/>
  <c r="I349" i="5"/>
  <c r="C349" i="5"/>
  <c r="I348" i="5"/>
  <c r="C348" i="5"/>
  <c r="I347" i="5"/>
  <c r="C347" i="5"/>
  <c r="I346" i="5"/>
  <c r="C346" i="5"/>
  <c r="I345" i="5"/>
  <c r="C345" i="5"/>
  <c r="I344" i="5"/>
  <c r="C344" i="5"/>
  <c r="I343" i="5"/>
  <c r="C343" i="5"/>
  <c r="I342" i="5"/>
  <c r="C342" i="5"/>
  <c r="I341" i="5"/>
  <c r="C341" i="5"/>
  <c r="I340" i="5"/>
  <c r="C340" i="5"/>
  <c r="I339" i="5"/>
  <c r="C339" i="5"/>
  <c r="I338" i="5"/>
  <c r="C338" i="5"/>
  <c r="I337" i="5"/>
  <c r="C337" i="5"/>
  <c r="I336" i="5"/>
  <c r="C336" i="5"/>
  <c r="I335" i="5"/>
  <c r="C335" i="5"/>
  <c r="I334" i="5"/>
  <c r="C334" i="5"/>
  <c r="I333" i="5"/>
  <c r="C333" i="5"/>
  <c r="I332" i="5"/>
  <c r="C332" i="5"/>
  <c r="I331" i="5"/>
  <c r="C331" i="5"/>
  <c r="I330" i="5"/>
  <c r="C330" i="5"/>
  <c r="I329" i="5"/>
  <c r="C329" i="5"/>
  <c r="I328" i="5"/>
  <c r="C328" i="5"/>
  <c r="I327" i="5"/>
  <c r="C327" i="5"/>
  <c r="I326" i="5"/>
  <c r="C326" i="5"/>
  <c r="I325" i="5"/>
  <c r="C325" i="5"/>
  <c r="I324" i="5"/>
  <c r="C324" i="5"/>
  <c r="I323" i="5"/>
  <c r="C323" i="5"/>
  <c r="I322" i="5"/>
  <c r="C322" i="5"/>
  <c r="I321" i="5"/>
  <c r="C321" i="5"/>
  <c r="I320" i="5"/>
  <c r="C320" i="5"/>
  <c r="I319" i="5"/>
  <c r="C319" i="5"/>
  <c r="I318" i="5"/>
  <c r="C318" i="5"/>
  <c r="I317" i="5"/>
  <c r="C317" i="5"/>
  <c r="I316" i="5"/>
  <c r="C316" i="5"/>
  <c r="I315" i="5"/>
  <c r="C315" i="5"/>
  <c r="I314" i="5"/>
  <c r="C314" i="5"/>
  <c r="I313" i="5"/>
  <c r="C313" i="5"/>
  <c r="I312" i="5"/>
  <c r="C312" i="5"/>
  <c r="I311" i="5"/>
  <c r="C311" i="5"/>
  <c r="I310" i="5"/>
  <c r="C310" i="5"/>
  <c r="I309" i="5"/>
  <c r="C309" i="5"/>
  <c r="I308" i="5"/>
  <c r="C308" i="5"/>
  <c r="I307" i="5"/>
  <c r="C307" i="5"/>
  <c r="I306" i="5"/>
  <c r="C306" i="5"/>
  <c r="I305" i="5"/>
  <c r="C305" i="5"/>
  <c r="I304" i="5"/>
  <c r="C304" i="5"/>
  <c r="I303" i="5"/>
  <c r="C303" i="5"/>
  <c r="I302" i="5"/>
  <c r="C302" i="5"/>
  <c r="I301" i="5"/>
  <c r="C301" i="5"/>
  <c r="I300" i="5"/>
  <c r="C300" i="5"/>
  <c r="I299" i="5"/>
  <c r="C299" i="5"/>
  <c r="I298" i="5"/>
  <c r="C298" i="5"/>
  <c r="I297" i="5"/>
  <c r="C297" i="5"/>
  <c r="I296" i="5"/>
  <c r="C296" i="5"/>
  <c r="I295" i="5"/>
  <c r="C295" i="5"/>
  <c r="I294" i="5"/>
  <c r="C294" i="5"/>
  <c r="I293" i="5"/>
  <c r="C293" i="5"/>
  <c r="I292" i="5"/>
  <c r="C292" i="5"/>
  <c r="I291" i="5"/>
  <c r="C291" i="5"/>
  <c r="I290" i="5"/>
  <c r="C290" i="5"/>
  <c r="I289" i="5"/>
  <c r="C289" i="5"/>
  <c r="I288" i="5"/>
  <c r="C288" i="5"/>
  <c r="I287" i="5"/>
  <c r="C287" i="5"/>
  <c r="I286" i="5"/>
  <c r="C286" i="5"/>
  <c r="I285" i="5"/>
  <c r="C285" i="5"/>
  <c r="I284" i="5"/>
  <c r="C284" i="5"/>
  <c r="I283" i="5"/>
  <c r="C283" i="5"/>
  <c r="I282" i="5"/>
  <c r="C282" i="5"/>
  <c r="I281" i="5"/>
  <c r="C281" i="5"/>
  <c r="I280" i="5"/>
  <c r="C280" i="5"/>
  <c r="I279" i="5"/>
  <c r="C279" i="5"/>
  <c r="I278" i="5"/>
  <c r="C278" i="5"/>
  <c r="I277" i="5"/>
  <c r="C277" i="5"/>
  <c r="I276" i="5"/>
  <c r="C276" i="5"/>
  <c r="I275" i="5"/>
  <c r="C275" i="5"/>
  <c r="I274" i="5"/>
  <c r="C274" i="5"/>
  <c r="I273" i="5"/>
  <c r="C273" i="5"/>
  <c r="I272" i="5"/>
  <c r="C272" i="5"/>
  <c r="I271" i="5"/>
  <c r="C271" i="5"/>
  <c r="I270" i="5"/>
  <c r="C270" i="5"/>
  <c r="I269" i="5"/>
  <c r="C269" i="5"/>
  <c r="I268" i="5"/>
  <c r="C268" i="5"/>
  <c r="I267" i="5"/>
  <c r="C267" i="5"/>
  <c r="I266" i="5"/>
  <c r="C266" i="5"/>
  <c r="I265" i="5"/>
  <c r="C265" i="5"/>
  <c r="I264" i="5"/>
  <c r="C264" i="5"/>
  <c r="I263" i="5"/>
  <c r="C263" i="5"/>
  <c r="I262" i="5"/>
  <c r="C262" i="5"/>
  <c r="I261" i="5"/>
  <c r="C261" i="5"/>
  <c r="I260" i="5"/>
  <c r="C260" i="5"/>
  <c r="I259" i="5"/>
  <c r="C259" i="5"/>
  <c r="I258" i="5"/>
  <c r="C258" i="5"/>
  <c r="I257" i="5"/>
  <c r="C257" i="5"/>
  <c r="I256" i="5"/>
  <c r="C256" i="5"/>
  <c r="I255" i="5"/>
  <c r="C255" i="5"/>
  <c r="I254" i="5"/>
  <c r="C254" i="5"/>
  <c r="I253" i="5"/>
  <c r="C253" i="5"/>
  <c r="I252" i="5"/>
  <c r="C252" i="5"/>
  <c r="I251" i="5"/>
  <c r="C251" i="5"/>
  <c r="I250" i="5"/>
  <c r="C250" i="5"/>
  <c r="I249" i="5"/>
  <c r="C249" i="5"/>
  <c r="I248" i="5"/>
  <c r="C248" i="5"/>
  <c r="I247" i="5"/>
  <c r="C247" i="5"/>
  <c r="I246" i="5"/>
  <c r="C246" i="5"/>
  <c r="I245" i="5"/>
  <c r="C245" i="5"/>
  <c r="I244" i="5"/>
  <c r="C244" i="5"/>
  <c r="I243" i="5"/>
  <c r="C243" i="5"/>
  <c r="I242" i="5"/>
  <c r="C242" i="5"/>
  <c r="I241" i="5"/>
  <c r="C241" i="5"/>
  <c r="I240" i="5"/>
  <c r="C240" i="5"/>
  <c r="I239" i="5"/>
  <c r="C239" i="5"/>
  <c r="I238" i="5"/>
  <c r="C238" i="5"/>
  <c r="I237" i="5"/>
  <c r="C237" i="5"/>
  <c r="I236" i="5"/>
  <c r="C236" i="5"/>
  <c r="I235" i="5"/>
  <c r="C235" i="5"/>
  <c r="I234" i="5"/>
  <c r="C234" i="5"/>
  <c r="I233" i="5"/>
  <c r="C233" i="5"/>
  <c r="I232" i="5"/>
  <c r="C232" i="5"/>
  <c r="I231" i="5"/>
  <c r="C231" i="5"/>
  <c r="I230" i="5"/>
  <c r="C230" i="5"/>
  <c r="I229" i="5"/>
  <c r="C229" i="5"/>
  <c r="I228" i="5"/>
  <c r="C228" i="5"/>
  <c r="I227" i="5"/>
  <c r="C227" i="5"/>
  <c r="I226" i="5"/>
  <c r="C226" i="5"/>
  <c r="I225" i="5"/>
  <c r="C225" i="5"/>
  <c r="I224" i="5"/>
  <c r="C224" i="5"/>
  <c r="I223" i="5"/>
  <c r="C223" i="5"/>
  <c r="I222" i="5"/>
  <c r="C222" i="5"/>
  <c r="I221" i="5"/>
  <c r="C221" i="5"/>
  <c r="I220" i="5"/>
  <c r="C220" i="5"/>
  <c r="I219" i="5"/>
  <c r="C219" i="5"/>
  <c r="I218" i="5"/>
  <c r="C218" i="5"/>
  <c r="I217" i="5"/>
  <c r="C217" i="5"/>
  <c r="I216" i="5"/>
  <c r="C216" i="5"/>
  <c r="I215" i="5"/>
  <c r="C215" i="5"/>
  <c r="I214" i="5"/>
  <c r="C214" i="5"/>
  <c r="I213" i="5"/>
  <c r="C213" i="5"/>
  <c r="I212" i="5"/>
  <c r="C212" i="5"/>
  <c r="I211" i="5"/>
  <c r="C211" i="5"/>
  <c r="I210" i="5"/>
  <c r="C210" i="5"/>
  <c r="I209" i="5"/>
  <c r="C209" i="5"/>
  <c r="I208" i="5"/>
  <c r="C208" i="5"/>
  <c r="I207" i="5"/>
  <c r="C207" i="5"/>
  <c r="I206" i="5"/>
  <c r="C206" i="5"/>
  <c r="I205" i="5"/>
  <c r="C205" i="5"/>
  <c r="I204" i="5"/>
  <c r="C204" i="5"/>
  <c r="I203" i="5"/>
  <c r="C203" i="5"/>
  <c r="I202" i="5"/>
  <c r="C202" i="5"/>
  <c r="I201" i="5"/>
  <c r="C201" i="5"/>
  <c r="I200" i="5"/>
  <c r="C200" i="5"/>
  <c r="I199" i="5"/>
  <c r="C199" i="5"/>
  <c r="I198" i="5"/>
  <c r="C198" i="5"/>
  <c r="I197" i="5"/>
  <c r="C197" i="5"/>
  <c r="I196" i="5"/>
  <c r="C196" i="5"/>
  <c r="I195" i="5"/>
  <c r="C195" i="5"/>
  <c r="I194" i="5"/>
  <c r="C194" i="5"/>
  <c r="I193" i="5"/>
  <c r="C193" i="5"/>
  <c r="I192" i="5"/>
  <c r="C192" i="5"/>
  <c r="I191" i="5"/>
  <c r="C191" i="5"/>
  <c r="I190" i="5"/>
  <c r="C190" i="5"/>
  <c r="I189" i="5"/>
  <c r="C189" i="5"/>
  <c r="I188" i="5"/>
  <c r="C188" i="5"/>
  <c r="I187" i="5"/>
  <c r="C187" i="5"/>
  <c r="I186" i="5"/>
  <c r="C186" i="5"/>
  <c r="I185" i="5"/>
  <c r="C185" i="5"/>
  <c r="I184" i="5"/>
  <c r="C184" i="5"/>
  <c r="I183" i="5"/>
  <c r="C183" i="5"/>
  <c r="I182" i="5"/>
  <c r="C182" i="5"/>
  <c r="I181" i="5"/>
  <c r="C181" i="5"/>
  <c r="I180" i="5"/>
  <c r="C180" i="5"/>
  <c r="I179" i="5"/>
  <c r="C179" i="5"/>
  <c r="I178" i="5"/>
  <c r="C178" i="5"/>
  <c r="I177" i="5"/>
  <c r="C177" i="5"/>
  <c r="I176" i="5"/>
  <c r="C176" i="5"/>
  <c r="I175" i="5"/>
  <c r="C175" i="5"/>
  <c r="I174" i="5"/>
  <c r="C174" i="5"/>
  <c r="I173" i="5"/>
  <c r="C173" i="5"/>
  <c r="I172" i="5"/>
  <c r="C172" i="5"/>
  <c r="I171" i="5"/>
  <c r="C171" i="5"/>
  <c r="I170" i="5"/>
  <c r="C170" i="5"/>
  <c r="I169" i="5"/>
  <c r="C169" i="5"/>
  <c r="I168" i="5"/>
  <c r="C168" i="5"/>
  <c r="I167" i="5"/>
  <c r="C167" i="5"/>
  <c r="I166" i="5"/>
  <c r="C166" i="5"/>
  <c r="I165" i="5"/>
  <c r="C165" i="5"/>
  <c r="I164" i="5"/>
  <c r="C164" i="5"/>
  <c r="I163" i="5"/>
  <c r="C163" i="5"/>
  <c r="I162" i="5"/>
  <c r="C162" i="5"/>
  <c r="I161" i="5"/>
  <c r="C161" i="5"/>
  <c r="I160" i="5"/>
  <c r="C160" i="5"/>
  <c r="I159" i="5"/>
  <c r="C159" i="5"/>
  <c r="I158" i="5"/>
  <c r="C158" i="5"/>
  <c r="I157" i="5"/>
  <c r="C157" i="5"/>
  <c r="I156" i="5"/>
  <c r="C156" i="5"/>
  <c r="I155" i="5"/>
  <c r="C155" i="5"/>
  <c r="I154" i="5"/>
  <c r="C154" i="5"/>
  <c r="I153" i="5"/>
  <c r="C153" i="5"/>
  <c r="I152" i="5"/>
  <c r="C152" i="5"/>
  <c r="I151" i="5"/>
  <c r="C151" i="5"/>
  <c r="I150" i="5"/>
  <c r="C150" i="5"/>
  <c r="I149" i="5"/>
  <c r="C149" i="5"/>
  <c r="I148" i="5"/>
  <c r="C148" i="5"/>
  <c r="I147" i="5"/>
  <c r="C147" i="5"/>
  <c r="I146" i="5"/>
  <c r="C146" i="5"/>
  <c r="I145" i="5"/>
  <c r="C145" i="5"/>
  <c r="I144" i="5"/>
  <c r="C144" i="5"/>
  <c r="I143" i="5"/>
  <c r="C143" i="5"/>
  <c r="I142" i="5"/>
  <c r="C142" i="5"/>
  <c r="I141" i="5"/>
  <c r="C141" i="5"/>
  <c r="I140" i="5"/>
  <c r="C140" i="5"/>
  <c r="I139" i="5"/>
  <c r="C139" i="5"/>
  <c r="I138" i="5"/>
  <c r="C138" i="5"/>
  <c r="I137" i="5"/>
  <c r="C137" i="5"/>
  <c r="I136" i="5"/>
  <c r="C136" i="5"/>
  <c r="I135" i="5"/>
  <c r="C135" i="5"/>
  <c r="I134" i="5"/>
  <c r="C134" i="5"/>
  <c r="I133" i="5"/>
  <c r="C133" i="5"/>
  <c r="I132" i="5"/>
  <c r="C132" i="5"/>
  <c r="I131" i="5"/>
  <c r="C131" i="5"/>
  <c r="I130" i="5"/>
  <c r="C130" i="5"/>
  <c r="I129" i="5"/>
  <c r="C129" i="5"/>
  <c r="I128" i="5"/>
  <c r="C128" i="5"/>
  <c r="I127" i="5"/>
  <c r="C127" i="5"/>
  <c r="I126" i="5"/>
  <c r="C126" i="5"/>
  <c r="I125" i="5"/>
  <c r="C125" i="5"/>
  <c r="I124" i="5"/>
  <c r="C124" i="5"/>
  <c r="I123" i="5"/>
  <c r="C123" i="5"/>
  <c r="I122" i="5"/>
  <c r="C122" i="5"/>
  <c r="I121" i="5"/>
  <c r="C121" i="5"/>
  <c r="I120" i="5"/>
  <c r="C120" i="5"/>
  <c r="I119" i="5"/>
  <c r="C119" i="5"/>
  <c r="I118" i="5"/>
  <c r="C118" i="5"/>
  <c r="I117" i="5"/>
  <c r="C117" i="5"/>
  <c r="I116" i="5"/>
  <c r="C116" i="5"/>
  <c r="I115" i="5"/>
  <c r="C115" i="5"/>
  <c r="I114" i="5"/>
  <c r="C114" i="5"/>
  <c r="I113" i="5"/>
  <c r="C113" i="5"/>
  <c r="I112" i="5"/>
  <c r="C112" i="5"/>
  <c r="I111" i="5"/>
  <c r="C111" i="5"/>
  <c r="I110" i="5"/>
  <c r="C110" i="5"/>
  <c r="I109" i="5"/>
  <c r="C109" i="5"/>
  <c r="I108" i="5"/>
  <c r="C108" i="5"/>
  <c r="I107" i="5"/>
  <c r="C107" i="5"/>
  <c r="I106" i="5"/>
  <c r="C106" i="5"/>
  <c r="I105" i="5"/>
  <c r="C105" i="5"/>
  <c r="I104" i="5"/>
  <c r="C104" i="5"/>
  <c r="I103" i="5"/>
  <c r="C103" i="5"/>
  <c r="I102" i="5"/>
  <c r="C102" i="5"/>
  <c r="I101" i="5"/>
  <c r="C101" i="5"/>
  <c r="I100" i="5"/>
  <c r="C100" i="5"/>
  <c r="I99" i="5"/>
  <c r="C99" i="5"/>
  <c r="I98" i="5"/>
  <c r="C98" i="5"/>
  <c r="I97" i="5"/>
  <c r="C97" i="5"/>
  <c r="I96" i="5"/>
  <c r="C96" i="5"/>
  <c r="I95" i="5"/>
  <c r="C95" i="5"/>
  <c r="I94" i="5"/>
  <c r="C94" i="5"/>
  <c r="I93" i="5"/>
  <c r="C93" i="5"/>
  <c r="I92" i="5"/>
  <c r="C92" i="5"/>
  <c r="I91" i="5"/>
  <c r="C91" i="5"/>
  <c r="I90" i="5"/>
  <c r="C90" i="5"/>
  <c r="I89" i="5"/>
  <c r="C89" i="5"/>
  <c r="I88" i="5"/>
  <c r="C88" i="5"/>
  <c r="I87" i="5"/>
  <c r="C87" i="5"/>
  <c r="I86" i="5"/>
  <c r="C86" i="5"/>
  <c r="I85" i="5"/>
  <c r="C85" i="5"/>
  <c r="I84" i="5"/>
  <c r="C84" i="5"/>
  <c r="I83" i="5"/>
  <c r="C83" i="5"/>
  <c r="I82" i="5"/>
  <c r="C82" i="5"/>
  <c r="I81" i="5"/>
  <c r="C81" i="5"/>
  <c r="I80" i="5"/>
  <c r="C80" i="5"/>
  <c r="I79" i="5"/>
  <c r="C79" i="5"/>
  <c r="I78" i="5"/>
  <c r="C78" i="5"/>
  <c r="I77" i="5"/>
  <c r="C77" i="5"/>
  <c r="I76" i="5"/>
  <c r="C76" i="5"/>
  <c r="I75" i="5"/>
  <c r="C75" i="5"/>
  <c r="I74" i="5"/>
  <c r="C74" i="5"/>
  <c r="I73" i="5"/>
  <c r="C73" i="5"/>
  <c r="I72" i="5"/>
  <c r="C72" i="5"/>
  <c r="I71" i="5"/>
  <c r="C71" i="5"/>
  <c r="I70" i="5"/>
  <c r="C70" i="5"/>
  <c r="I69" i="5"/>
  <c r="C69" i="5"/>
  <c r="I68" i="5"/>
  <c r="C68" i="5"/>
  <c r="I67" i="5"/>
  <c r="C67" i="5"/>
  <c r="I66" i="5"/>
  <c r="C66" i="5"/>
  <c r="I65" i="5"/>
  <c r="C65" i="5"/>
  <c r="I64" i="5"/>
  <c r="C64" i="5"/>
  <c r="I63" i="5"/>
  <c r="C63" i="5"/>
  <c r="I62" i="5"/>
  <c r="C62" i="5"/>
  <c r="I61" i="5"/>
  <c r="C61" i="5"/>
  <c r="I60" i="5"/>
  <c r="C60" i="5"/>
  <c r="I59" i="5"/>
  <c r="C59" i="5"/>
  <c r="I58" i="5"/>
  <c r="C58" i="5"/>
  <c r="I57" i="5"/>
  <c r="C57" i="5"/>
  <c r="I56" i="5"/>
  <c r="C56" i="5"/>
  <c r="I55" i="5"/>
  <c r="C55" i="5"/>
  <c r="I54" i="5"/>
  <c r="C54" i="5"/>
  <c r="I53" i="5"/>
  <c r="C53" i="5"/>
  <c r="I52" i="5"/>
  <c r="C52" i="5"/>
  <c r="I51" i="5"/>
  <c r="C51" i="5"/>
  <c r="I50" i="5"/>
  <c r="C50" i="5"/>
  <c r="I49" i="5"/>
  <c r="C49" i="5"/>
  <c r="I48" i="5"/>
  <c r="C48" i="5"/>
  <c r="I47" i="5"/>
  <c r="C47" i="5"/>
  <c r="I46" i="5"/>
  <c r="C46" i="5"/>
  <c r="I45" i="5"/>
  <c r="C45" i="5"/>
  <c r="I44" i="5"/>
  <c r="C44" i="5"/>
  <c r="I43" i="5"/>
  <c r="C43" i="5"/>
  <c r="I42" i="5"/>
  <c r="C42" i="5"/>
  <c r="I41" i="5"/>
  <c r="C41" i="5"/>
  <c r="I40" i="5"/>
  <c r="C40" i="5"/>
  <c r="I39" i="5"/>
  <c r="C39" i="5"/>
  <c r="I38" i="5"/>
  <c r="C38" i="5"/>
  <c r="I37" i="5"/>
  <c r="C37" i="5"/>
  <c r="I36" i="5"/>
  <c r="C36" i="5"/>
  <c r="I35" i="5"/>
  <c r="C35" i="5"/>
  <c r="I34" i="5"/>
  <c r="C34" i="5"/>
  <c r="I33" i="5"/>
  <c r="C33" i="5"/>
  <c r="I32" i="5"/>
  <c r="C32" i="5"/>
  <c r="I31" i="5"/>
  <c r="C31" i="5"/>
  <c r="I30" i="5"/>
  <c r="C30" i="5"/>
  <c r="I29" i="5"/>
  <c r="C29" i="5"/>
  <c r="I28" i="5"/>
  <c r="C28" i="5"/>
  <c r="I27" i="5"/>
  <c r="C27" i="5"/>
  <c r="I26" i="5"/>
  <c r="C26" i="5"/>
  <c r="I25" i="5"/>
  <c r="C25" i="5"/>
  <c r="I24" i="5"/>
  <c r="C24" i="5"/>
  <c r="I23" i="5"/>
  <c r="C23" i="5"/>
  <c r="I22" i="5"/>
  <c r="C22" i="5"/>
  <c r="I21" i="5"/>
  <c r="C21" i="5"/>
  <c r="I20" i="5"/>
  <c r="C20" i="5"/>
  <c r="I19" i="5"/>
  <c r="C19" i="5"/>
  <c r="I18" i="5"/>
  <c r="C18" i="5"/>
  <c r="I17" i="5"/>
  <c r="C17" i="5"/>
  <c r="I16" i="5"/>
  <c r="C16" i="5"/>
  <c r="I15" i="5"/>
  <c r="C15" i="5"/>
  <c r="I14" i="5"/>
  <c r="C14" i="5"/>
  <c r="I13" i="5"/>
  <c r="C13" i="5"/>
  <c r="I12" i="5"/>
  <c r="C12" i="5"/>
  <c r="I11" i="5"/>
  <c r="C11" i="5"/>
  <c r="I10" i="5"/>
  <c r="C10" i="5"/>
  <c r="I9" i="5"/>
  <c r="C9" i="5"/>
  <c r="I8" i="5"/>
  <c r="C8" i="5"/>
  <c r="I7" i="5"/>
  <c r="C7" i="5"/>
  <c r="I6" i="5"/>
  <c r="C6" i="5"/>
  <c r="I5" i="5"/>
  <c r="C5" i="5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B27" i="2"/>
  <c r="B8" i="2"/>
  <c r="B7" i="2"/>
  <c r="B5" i="2"/>
  <c r="B4" i="2"/>
  <c r="U34" i="9" l="1"/>
  <c r="B67" i="9"/>
  <c r="F84" i="9"/>
  <c r="I64" i="6"/>
  <c r="J64" i="6" s="1"/>
  <c r="I67" i="6"/>
  <c r="J67" i="6" s="1"/>
  <c r="I70" i="6"/>
  <c r="J70" i="6" s="1"/>
  <c r="C29" i="9"/>
  <c r="P35" i="9"/>
  <c r="G35" i="9"/>
  <c r="P56" i="9"/>
  <c r="M56" i="9"/>
  <c r="L56" i="9"/>
  <c r="J56" i="9"/>
  <c r="C56" i="9"/>
  <c r="I84" i="9"/>
  <c r="M67" i="9"/>
  <c r="G67" i="9"/>
  <c r="F67" i="9"/>
  <c r="E67" i="9"/>
  <c r="U67" i="9"/>
  <c r="D67" i="9"/>
  <c r="T67" i="9"/>
  <c r="C67" i="9"/>
  <c r="N67" i="9"/>
  <c r="U39" i="9"/>
  <c r="T39" i="9"/>
  <c r="N39" i="9"/>
  <c r="M39" i="9"/>
  <c r="B39" i="9"/>
  <c r="N45" i="9"/>
  <c r="G45" i="9"/>
  <c r="U74" i="9"/>
  <c r="M74" i="9"/>
  <c r="I82" i="6"/>
  <c r="J82" i="6" s="1"/>
  <c r="I147" i="6"/>
  <c r="J147" i="6" s="1"/>
  <c r="I150" i="6"/>
  <c r="J150" i="6" s="1"/>
  <c r="I153" i="6"/>
  <c r="J153" i="6" s="1"/>
  <c r="I185" i="6"/>
  <c r="J185" i="6" s="1"/>
  <c r="F35" i="9"/>
  <c r="H39" i="9"/>
  <c r="M45" i="9"/>
  <c r="I67" i="9"/>
  <c r="U71" i="9"/>
  <c r="F71" i="9"/>
  <c r="E71" i="9"/>
  <c r="D71" i="9"/>
  <c r="T71" i="9"/>
  <c r="C71" i="9"/>
  <c r="Q71" i="9"/>
  <c r="B71" i="9"/>
  <c r="L71" i="9"/>
  <c r="G74" i="9"/>
  <c r="P84" i="9"/>
  <c r="R84" i="9" s="1"/>
  <c r="U84" i="9"/>
  <c r="M84" i="9"/>
  <c r="B13" i="2"/>
  <c r="I8" i="6"/>
  <c r="J8" i="6" s="1"/>
  <c r="I11" i="6"/>
  <c r="J11" i="6" s="1"/>
  <c r="I112" i="6"/>
  <c r="J112" i="6" s="1"/>
  <c r="I115" i="6"/>
  <c r="J115" i="6" s="1"/>
  <c r="I171" i="6"/>
  <c r="J171" i="6" s="1"/>
  <c r="T13" i="9"/>
  <c r="I13" i="9"/>
  <c r="H13" i="9"/>
  <c r="D13" i="9"/>
  <c r="C13" i="9"/>
  <c r="K13" i="9" s="1"/>
  <c r="Q31" i="9"/>
  <c r="G31" i="9"/>
  <c r="F31" i="9"/>
  <c r="E31" i="9"/>
  <c r="D31" i="9"/>
  <c r="M31" i="9"/>
  <c r="I35" i="9"/>
  <c r="L39" i="9"/>
  <c r="U61" i="9"/>
  <c r="J61" i="9"/>
  <c r="J67" i="9"/>
  <c r="K67" i="9" s="1"/>
  <c r="G71" i="9"/>
  <c r="N74" i="9"/>
  <c r="Q84" i="9"/>
  <c r="M88" i="9"/>
  <c r="H88" i="9"/>
  <c r="G88" i="9"/>
  <c r="D88" i="9"/>
  <c r="C88" i="9"/>
  <c r="U89" i="9"/>
  <c r="Q89" i="9"/>
  <c r="P89" i="9"/>
  <c r="M89" i="9"/>
  <c r="H89" i="9"/>
  <c r="O100" i="9"/>
  <c r="H100" i="9"/>
  <c r="G100" i="9"/>
  <c r="E100" i="9"/>
  <c r="B100" i="9"/>
  <c r="J34" i="9"/>
  <c r="K34" i="9" s="1"/>
  <c r="N34" i="9"/>
  <c r="M34" i="9"/>
  <c r="L34" i="9"/>
  <c r="D34" i="9"/>
  <c r="B65" i="9"/>
  <c r="T65" i="9"/>
  <c r="Q65" i="9"/>
  <c r="P65" i="9"/>
  <c r="N65" i="9"/>
  <c r="L65" i="9"/>
  <c r="B89" i="9"/>
  <c r="T95" i="9"/>
  <c r="N95" i="9"/>
  <c r="I92" i="6"/>
  <c r="J92" i="6" s="1"/>
  <c r="I104" i="6"/>
  <c r="J104" i="6" s="1"/>
  <c r="B34" i="9"/>
  <c r="O44" i="9"/>
  <c r="L44" i="9"/>
  <c r="I44" i="9"/>
  <c r="H44" i="9"/>
  <c r="G44" i="9"/>
  <c r="L47" i="9"/>
  <c r="H47" i="9"/>
  <c r="U49" i="9"/>
  <c r="P49" i="9"/>
  <c r="O49" i="9"/>
  <c r="N49" i="9"/>
  <c r="M49" i="9"/>
  <c r="L49" i="9"/>
  <c r="B49" i="9"/>
  <c r="C59" i="9"/>
  <c r="D65" i="9"/>
  <c r="Q67" i="9"/>
  <c r="D89" i="9"/>
  <c r="E95" i="9"/>
  <c r="C24" i="9"/>
  <c r="C34" i="9"/>
  <c r="D41" i="9"/>
  <c r="C44" i="9"/>
  <c r="C47" i="9"/>
  <c r="K47" i="9" s="1"/>
  <c r="H49" i="9"/>
  <c r="E59" i="9"/>
  <c r="U65" i="9"/>
  <c r="G89" i="9"/>
  <c r="G95" i="9"/>
  <c r="P102" i="9"/>
  <c r="M102" i="9"/>
  <c r="I198" i="6"/>
  <c r="J198" i="6" s="1"/>
  <c r="C6" i="9"/>
  <c r="F10" i="9"/>
  <c r="E10" i="9"/>
  <c r="D10" i="9"/>
  <c r="B10" i="9"/>
  <c r="D24" i="9"/>
  <c r="O28" i="9"/>
  <c r="F28" i="9"/>
  <c r="E28" i="9"/>
  <c r="D28" i="9"/>
  <c r="L31" i="9"/>
  <c r="F34" i="9"/>
  <c r="I41" i="9"/>
  <c r="D44" i="9"/>
  <c r="D47" i="9"/>
  <c r="I49" i="9"/>
  <c r="T59" i="9"/>
  <c r="P71" i="9"/>
  <c r="I89" i="9"/>
  <c r="I102" i="9"/>
  <c r="I13" i="6"/>
  <c r="J13" i="6" s="1"/>
  <c r="I72" i="6"/>
  <c r="J72" i="6" s="1"/>
  <c r="E6" i="9"/>
  <c r="G10" i="9"/>
  <c r="I18" i="9"/>
  <c r="G18" i="9"/>
  <c r="F18" i="9"/>
  <c r="E18" i="9"/>
  <c r="P18" i="9"/>
  <c r="R18" i="9" s="1"/>
  <c r="U25" i="9"/>
  <c r="T25" i="9"/>
  <c r="C28" i="9"/>
  <c r="N31" i="9"/>
  <c r="G34" i="9"/>
  <c r="M44" i="9"/>
  <c r="F47" i="9"/>
  <c r="M66" i="9"/>
  <c r="N78" i="9"/>
  <c r="N82" i="9"/>
  <c r="J89" i="9"/>
  <c r="H103" i="9"/>
  <c r="G103" i="9"/>
  <c r="D103" i="9"/>
  <c r="M59" i="9"/>
  <c r="L59" i="9"/>
  <c r="H59" i="9"/>
  <c r="G59" i="9"/>
  <c r="F59" i="9"/>
  <c r="B59" i="9"/>
  <c r="I157" i="6"/>
  <c r="J157" i="6" s="1"/>
  <c r="T41" i="9"/>
  <c r="G41" i="9"/>
  <c r="I49" i="6"/>
  <c r="J49" i="6" s="1"/>
  <c r="I55" i="6"/>
  <c r="J55" i="6" s="1"/>
  <c r="I58" i="6"/>
  <c r="J58" i="6" s="1"/>
  <c r="I105" i="6"/>
  <c r="J105" i="6" s="1"/>
  <c r="L6" i="9"/>
  <c r="T31" i="9"/>
  <c r="I34" i="9"/>
  <c r="P41" i="9"/>
  <c r="P44" i="9"/>
  <c r="I47" i="9"/>
  <c r="T60" i="9"/>
  <c r="Q60" i="9"/>
  <c r="M60" i="9"/>
  <c r="J60" i="9"/>
  <c r="H60" i="9"/>
  <c r="E60" i="9"/>
  <c r="T66" i="9"/>
  <c r="P78" i="9"/>
  <c r="R78" i="9" s="1"/>
  <c r="P83" i="9"/>
  <c r="M83" i="9"/>
  <c r="L83" i="9"/>
  <c r="H83" i="9"/>
  <c r="D83" i="9"/>
  <c r="I22" i="6"/>
  <c r="J22" i="6" s="1"/>
  <c r="I28" i="6"/>
  <c r="J28" i="6" s="1"/>
  <c r="I34" i="6"/>
  <c r="J34" i="6" s="1"/>
  <c r="I37" i="6"/>
  <c r="J37" i="6" s="1"/>
  <c r="I43" i="6"/>
  <c r="J43" i="6" s="1"/>
  <c r="I78" i="6"/>
  <c r="J78" i="6" s="1"/>
  <c r="I81" i="6"/>
  <c r="J81" i="6" s="1"/>
  <c r="I107" i="6"/>
  <c r="J107" i="6" s="1"/>
  <c r="I113" i="6"/>
  <c r="J113" i="6" s="1"/>
  <c r="I133" i="6"/>
  <c r="J133" i="6" s="1"/>
  <c r="I136" i="6"/>
  <c r="J136" i="6" s="1"/>
  <c r="I139" i="6"/>
  <c r="J139" i="6" s="1"/>
  <c r="I151" i="6"/>
  <c r="J151" i="6" s="1"/>
  <c r="I159" i="6"/>
  <c r="J159" i="6" s="1"/>
  <c r="I162" i="6"/>
  <c r="J162" i="6" s="1"/>
  <c r="O98" i="9"/>
  <c r="I26" i="6"/>
  <c r="J26" i="6" s="1"/>
  <c r="I44" i="6"/>
  <c r="J44" i="6" s="1"/>
  <c r="I97" i="6"/>
  <c r="J97" i="6" s="1"/>
  <c r="I125" i="6"/>
  <c r="J125" i="6" s="1"/>
  <c r="I131" i="6"/>
  <c r="J131" i="6" s="1"/>
  <c r="I137" i="6"/>
  <c r="J137" i="6" s="1"/>
  <c r="I174" i="6"/>
  <c r="J174" i="6" s="1"/>
  <c r="I177" i="6"/>
  <c r="J177" i="6" s="1"/>
  <c r="I191" i="6"/>
  <c r="J191" i="6" s="1"/>
  <c r="T8" i="9"/>
  <c r="L23" i="9"/>
  <c r="H76" i="9"/>
  <c r="N90" i="9"/>
  <c r="H94" i="9"/>
  <c r="B98" i="9"/>
  <c r="I12" i="6"/>
  <c r="J12" i="6" s="1"/>
  <c r="I15" i="6"/>
  <c r="J15" i="6" s="1"/>
  <c r="I50" i="6"/>
  <c r="J50" i="6" s="1"/>
  <c r="I56" i="6"/>
  <c r="J56" i="6" s="1"/>
  <c r="I71" i="6"/>
  <c r="J71" i="6" s="1"/>
  <c r="I123" i="6"/>
  <c r="J123" i="6" s="1"/>
  <c r="I166" i="6"/>
  <c r="J166" i="6" s="1"/>
  <c r="I183" i="6"/>
  <c r="J183" i="6" s="1"/>
  <c r="C8" i="9"/>
  <c r="K8" i="9" s="1"/>
  <c r="U8" i="9"/>
  <c r="P23" i="9"/>
  <c r="J46" i="9"/>
  <c r="N76" i="9"/>
  <c r="P90" i="9"/>
  <c r="I94" i="9"/>
  <c r="D98" i="9"/>
  <c r="I27" i="6"/>
  <c r="J27" i="6" s="1"/>
  <c r="I33" i="6"/>
  <c r="J33" i="6" s="1"/>
  <c r="I39" i="6"/>
  <c r="J39" i="6" s="1"/>
  <c r="I132" i="6"/>
  <c r="J132" i="6" s="1"/>
  <c r="I141" i="6"/>
  <c r="J141" i="6" s="1"/>
  <c r="Q23" i="9"/>
  <c r="P76" i="9"/>
  <c r="U90" i="9"/>
  <c r="P94" i="9"/>
  <c r="E98" i="9"/>
  <c r="I83" i="6"/>
  <c r="J83" i="6" s="1"/>
  <c r="B9" i="9"/>
  <c r="B23" i="9"/>
  <c r="T23" i="9"/>
  <c r="B90" i="9"/>
  <c r="G98" i="9"/>
  <c r="Q30" i="9"/>
  <c r="O30" i="9"/>
  <c r="M30" i="9"/>
  <c r="H93" i="9"/>
  <c r="G93" i="9"/>
  <c r="T93" i="9"/>
  <c r="N93" i="9"/>
  <c r="M93" i="9"/>
  <c r="F93" i="9"/>
  <c r="L93" i="9"/>
  <c r="U93" i="9"/>
  <c r="P93" i="9"/>
  <c r="E93" i="9"/>
  <c r="D93" i="9"/>
  <c r="B93" i="9"/>
  <c r="B30" i="9"/>
  <c r="H52" i="9"/>
  <c r="I40" i="6"/>
  <c r="J40" i="6" s="1"/>
  <c r="I98" i="6"/>
  <c r="J98" i="6" s="1"/>
  <c r="I140" i="6"/>
  <c r="J140" i="6" s="1"/>
  <c r="I143" i="6"/>
  <c r="J143" i="6" s="1"/>
  <c r="K48" i="9"/>
  <c r="M52" i="9"/>
  <c r="D85" i="9"/>
  <c r="F30" i="9"/>
  <c r="F37" i="9"/>
  <c r="C37" i="9"/>
  <c r="B37" i="9"/>
  <c r="N50" i="9"/>
  <c r="F50" i="9"/>
  <c r="D50" i="9"/>
  <c r="P50" i="9"/>
  <c r="M50" i="9"/>
  <c r="L50" i="9"/>
  <c r="O52" i="9"/>
  <c r="B99" i="9"/>
  <c r="U11" i="9"/>
  <c r="T11" i="9"/>
  <c r="L30" i="9"/>
  <c r="G50" i="9"/>
  <c r="B77" i="9"/>
  <c r="D99" i="9"/>
  <c r="I124" i="6"/>
  <c r="J124" i="6" s="1"/>
  <c r="I127" i="6"/>
  <c r="J127" i="6" s="1"/>
  <c r="I187" i="6"/>
  <c r="J187" i="6" s="1"/>
  <c r="B10" i="2"/>
  <c r="B11" i="2" s="1"/>
  <c r="L7" i="9"/>
  <c r="H7" i="9"/>
  <c r="F11" i="9"/>
  <c r="I50" i="9"/>
  <c r="P54" i="9"/>
  <c r="M54" i="9"/>
  <c r="E7" i="9"/>
  <c r="E54" i="9"/>
  <c r="F56" i="9"/>
  <c r="E56" i="9"/>
  <c r="I56" i="9"/>
  <c r="H56" i="9"/>
  <c r="G56" i="9"/>
  <c r="D56" i="9"/>
  <c r="U56" i="9"/>
  <c r="T56" i="9"/>
  <c r="Q56" i="9"/>
  <c r="G7" i="9"/>
  <c r="K41" i="9"/>
  <c r="F54" i="9"/>
  <c r="F85" i="9"/>
  <c r="E85" i="9"/>
  <c r="P85" i="9"/>
  <c r="Q85" i="9"/>
  <c r="N85" i="9"/>
  <c r="M85" i="9"/>
  <c r="I35" i="6"/>
  <c r="J35" i="6" s="1"/>
  <c r="I135" i="6"/>
  <c r="J135" i="6" s="1"/>
  <c r="I51" i="6"/>
  <c r="J51" i="6" s="1"/>
  <c r="I77" i="6"/>
  <c r="J77" i="6" s="1"/>
  <c r="I5" i="9"/>
  <c r="T5" i="9"/>
  <c r="M5" i="9"/>
  <c r="H5" i="9"/>
  <c r="G5" i="9"/>
  <c r="J5" i="9" s="1"/>
  <c r="K5" i="9" s="1"/>
  <c r="D5" i="9"/>
  <c r="T16" i="9"/>
  <c r="O16" i="9"/>
  <c r="M16" i="9"/>
  <c r="L16" i="9"/>
  <c r="J36" i="9"/>
  <c r="H36" i="9"/>
  <c r="G36" i="9"/>
  <c r="M36" i="9"/>
  <c r="L36" i="9"/>
  <c r="I36" i="9"/>
  <c r="G54" i="9"/>
  <c r="U62" i="9"/>
  <c r="Q62" i="9"/>
  <c r="N62" i="9"/>
  <c r="H62" i="9"/>
  <c r="G62" i="9"/>
  <c r="F62" i="9"/>
  <c r="D62" i="9"/>
  <c r="P75" i="9"/>
  <c r="O75" i="9"/>
  <c r="M75" i="9"/>
  <c r="L75" i="9"/>
  <c r="H75" i="9"/>
  <c r="B75" i="9"/>
  <c r="J42" i="9"/>
  <c r="O42" i="9"/>
  <c r="N42" i="9"/>
  <c r="I42" i="9"/>
  <c r="F42" i="9"/>
  <c r="E42" i="9"/>
  <c r="L42" i="9"/>
  <c r="Q42" i="9"/>
  <c r="D42" i="9"/>
  <c r="C42" i="9"/>
  <c r="U104" i="9"/>
  <c r="Q104" i="9"/>
  <c r="H104" i="9"/>
  <c r="J104" i="9"/>
  <c r="K104" i="9" s="1"/>
  <c r="I104" i="9"/>
  <c r="D104" i="9"/>
  <c r="E104" i="9"/>
  <c r="P104" i="9"/>
  <c r="K46" i="9"/>
  <c r="B104" i="9"/>
  <c r="R16" i="9"/>
  <c r="D30" i="9"/>
  <c r="I52" i="9"/>
  <c r="L87" i="9"/>
  <c r="C87" i="9"/>
  <c r="B87" i="9"/>
  <c r="N87" i="9"/>
  <c r="M87" i="9"/>
  <c r="J87" i="9"/>
  <c r="G87" i="9"/>
  <c r="E87" i="9"/>
  <c r="T87" i="9"/>
  <c r="P87" i="9"/>
  <c r="D96" i="9"/>
  <c r="P96" i="9"/>
  <c r="J96" i="9"/>
  <c r="K96" i="9" s="1"/>
  <c r="H96" i="9"/>
  <c r="E96" i="9"/>
  <c r="I20" i="6"/>
  <c r="J20" i="6" s="1"/>
  <c r="Q22" i="9"/>
  <c r="P22" i="9"/>
  <c r="R22" i="9" s="1"/>
  <c r="N22" i="9"/>
  <c r="O22" i="9"/>
  <c r="M22" i="9"/>
  <c r="F22" i="9"/>
  <c r="E30" i="9"/>
  <c r="M99" i="9"/>
  <c r="L99" i="9"/>
  <c r="E99" i="9"/>
  <c r="Q99" i="9"/>
  <c r="P99" i="9"/>
  <c r="O99" i="9"/>
  <c r="T99" i="9"/>
  <c r="J99" i="9"/>
  <c r="H99" i="9"/>
  <c r="G99" i="9"/>
  <c r="N104" i="9"/>
  <c r="I6" i="6"/>
  <c r="J6" i="6" s="1"/>
  <c r="I32" i="6"/>
  <c r="J32" i="6" s="1"/>
  <c r="I46" i="6"/>
  <c r="J46" i="6" s="1"/>
  <c r="I197" i="6"/>
  <c r="J197" i="6" s="1"/>
  <c r="I30" i="9"/>
  <c r="C50" i="9"/>
  <c r="M77" i="9"/>
  <c r="L77" i="9"/>
  <c r="P77" i="9"/>
  <c r="J77" i="9"/>
  <c r="H77" i="9"/>
  <c r="G77" i="9"/>
  <c r="T77" i="9"/>
  <c r="Q77" i="9"/>
  <c r="J85" i="9"/>
  <c r="C99" i="9"/>
  <c r="I173" i="6"/>
  <c r="J173" i="6" s="1"/>
  <c r="I68" i="6"/>
  <c r="J68" i="6" s="1"/>
  <c r="I134" i="6"/>
  <c r="J134" i="6" s="1"/>
  <c r="B5" i="9"/>
  <c r="F16" i="9"/>
  <c r="I33" i="9"/>
  <c r="D36" i="9"/>
  <c r="I7" i="6"/>
  <c r="J7" i="6" s="1"/>
  <c r="I18" i="6"/>
  <c r="J18" i="6" s="1"/>
  <c r="I84" i="6"/>
  <c r="J84" i="6" s="1"/>
  <c r="M25" i="9"/>
  <c r="F25" i="9"/>
  <c r="C25" i="9"/>
  <c r="K25" i="9" s="1"/>
  <c r="P25" i="9"/>
  <c r="N25" i="9"/>
  <c r="L25" i="9"/>
  <c r="N53" i="9"/>
  <c r="H53" i="9"/>
  <c r="G53" i="9"/>
  <c r="I53" i="9"/>
  <c r="C53" i="9"/>
  <c r="B53" i="9"/>
  <c r="U63" i="9"/>
  <c r="C66" i="9"/>
  <c r="B66" i="9"/>
  <c r="L66" i="9"/>
  <c r="I66" i="9"/>
  <c r="F66" i="9"/>
  <c r="G66" i="9"/>
  <c r="K90" i="9"/>
  <c r="I21" i="6"/>
  <c r="J21" i="6" s="1"/>
  <c r="I73" i="6"/>
  <c r="J73" i="6" s="1"/>
  <c r="I87" i="6"/>
  <c r="J87" i="6" s="1"/>
  <c r="B25" i="9"/>
  <c r="T29" i="9"/>
  <c r="M29" i="9"/>
  <c r="L29" i="9"/>
  <c r="J29" i="9"/>
  <c r="K29" i="9" s="1"/>
  <c r="I29" i="9"/>
  <c r="H29" i="9"/>
  <c r="J53" i="9"/>
  <c r="D66" i="9"/>
  <c r="J88" i="9"/>
  <c r="K88" i="9" s="1"/>
  <c r="F88" i="9"/>
  <c r="E88" i="9"/>
  <c r="O88" i="9"/>
  <c r="U88" i="9"/>
  <c r="T88" i="9"/>
  <c r="N88" i="9"/>
  <c r="T73" i="9"/>
  <c r="I73" i="9"/>
  <c r="G73" i="9"/>
  <c r="H73" i="9"/>
  <c r="U82" i="9"/>
  <c r="J82" i="9"/>
  <c r="H82" i="9"/>
  <c r="O82" i="9"/>
  <c r="G86" i="9"/>
  <c r="E86" i="9"/>
  <c r="N86" i="9"/>
  <c r="H86" i="9"/>
  <c r="D86" i="9"/>
  <c r="B86" i="9"/>
  <c r="C86" i="9"/>
  <c r="K86" i="9" s="1"/>
  <c r="T103" i="9"/>
  <c r="N103" i="9"/>
  <c r="J103" i="9"/>
  <c r="I99" i="6"/>
  <c r="J99" i="6" s="1"/>
  <c r="I110" i="6"/>
  <c r="J110" i="6" s="1"/>
  <c r="G13" i="9"/>
  <c r="U13" i="9"/>
  <c r="F13" i="9"/>
  <c r="P13" i="9"/>
  <c r="O13" i="9"/>
  <c r="M13" i="9"/>
  <c r="H25" i="9"/>
  <c r="Q32" i="9"/>
  <c r="G38" i="9"/>
  <c r="D38" i="9"/>
  <c r="M51" i="9"/>
  <c r="J51" i="9"/>
  <c r="K51" i="9" s="1"/>
  <c r="F51" i="9"/>
  <c r="E51" i="9"/>
  <c r="C51" i="9"/>
  <c r="O53" i="9"/>
  <c r="O66" i="9"/>
  <c r="Q70" i="9"/>
  <c r="O70" i="9"/>
  <c r="I70" i="9"/>
  <c r="N70" i="9"/>
  <c r="N46" i="9"/>
  <c r="M46" i="9"/>
  <c r="Q46" i="9"/>
  <c r="M63" i="9"/>
  <c r="P63" i="9"/>
  <c r="C63" i="9"/>
  <c r="K63" i="9" s="1"/>
  <c r="O63" i="9"/>
  <c r="B63" i="9"/>
  <c r="Q63" i="9"/>
  <c r="N63" i="9"/>
  <c r="L63" i="9"/>
  <c r="H65" i="9"/>
  <c r="F65" i="9"/>
  <c r="J65" i="9"/>
  <c r="I65" i="9"/>
  <c r="E65" i="9"/>
  <c r="I31" i="6"/>
  <c r="J31" i="6" s="1"/>
  <c r="I42" i="6"/>
  <c r="J42" i="6" s="1"/>
  <c r="I62" i="6"/>
  <c r="J62" i="6" s="1"/>
  <c r="I65" i="6"/>
  <c r="J65" i="6" s="1"/>
  <c r="I76" i="6"/>
  <c r="J76" i="6" s="1"/>
  <c r="I96" i="6"/>
  <c r="J96" i="6" s="1"/>
  <c r="I195" i="6"/>
  <c r="J195" i="6" s="1"/>
  <c r="I25" i="9"/>
  <c r="I39" i="9"/>
  <c r="Q39" i="9"/>
  <c r="O39" i="9"/>
  <c r="F39" i="9"/>
  <c r="D39" i="9"/>
  <c r="C39" i="9"/>
  <c r="Q43" i="9"/>
  <c r="P43" i="9"/>
  <c r="O43" i="9"/>
  <c r="I46" i="9"/>
  <c r="T48" i="9"/>
  <c r="H48" i="9"/>
  <c r="G48" i="9"/>
  <c r="F48" i="9"/>
  <c r="T53" i="9"/>
  <c r="E63" i="9"/>
  <c r="C65" i="9"/>
  <c r="P66" i="9"/>
  <c r="F94" i="9"/>
  <c r="G94" i="9"/>
  <c r="U94" i="9"/>
  <c r="E94" i="9"/>
  <c r="L94" i="9"/>
  <c r="O94" i="9"/>
  <c r="M94" i="9"/>
  <c r="J94" i="9"/>
  <c r="K94" i="9" s="1"/>
  <c r="I24" i="6"/>
  <c r="J24" i="6" s="1"/>
  <c r="I52" i="6"/>
  <c r="J52" i="6" s="1"/>
  <c r="I66" i="6"/>
  <c r="J66" i="6" s="1"/>
  <c r="I108" i="6"/>
  <c r="J108" i="6" s="1"/>
  <c r="I118" i="6"/>
  <c r="J118" i="6" s="1"/>
  <c r="I138" i="6"/>
  <c r="J138" i="6" s="1"/>
  <c r="I190" i="6"/>
  <c r="J190" i="6" s="1"/>
  <c r="N41" i="9"/>
  <c r="M41" i="9"/>
  <c r="L41" i="9"/>
  <c r="T45" i="9"/>
  <c r="D45" i="9"/>
  <c r="C45" i="9"/>
  <c r="I60" i="9"/>
  <c r="L60" i="9"/>
  <c r="O61" i="9"/>
  <c r="N61" i="9"/>
  <c r="M61" i="9"/>
  <c r="K71" i="9"/>
  <c r="Q83" i="9"/>
  <c r="C83" i="9"/>
  <c r="T89" i="9"/>
  <c r="P80" i="9"/>
  <c r="D80" i="9"/>
  <c r="B80" i="9"/>
  <c r="B6" i="2"/>
  <c r="B9" i="2" s="1"/>
  <c r="I30" i="6"/>
  <c r="J30" i="6" s="1"/>
  <c r="I47" i="6"/>
  <c r="J47" i="6" s="1"/>
  <c r="I75" i="6"/>
  <c r="J75" i="6" s="1"/>
  <c r="I86" i="6"/>
  <c r="J86" i="6" s="1"/>
  <c r="I89" i="6"/>
  <c r="J89" i="6" s="1"/>
  <c r="I94" i="6"/>
  <c r="J94" i="6" s="1"/>
  <c r="I128" i="6"/>
  <c r="J128" i="6" s="1"/>
  <c r="I148" i="6"/>
  <c r="J148" i="6" s="1"/>
  <c r="I178" i="6"/>
  <c r="J178" i="6" s="1"/>
  <c r="N10" i="9"/>
  <c r="U10" i="9"/>
  <c r="P10" i="9"/>
  <c r="R10" i="9" s="1"/>
  <c r="U18" i="9"/>
  <c r="D18" i="9"/>
  <c r="Q18" i="9"/>
  <c r="C18" i="9"/>
  <c r="K18" i="9" s="1"/>
  <c r="J28" i="9"/>
  <c r="H28" i="9"/>
  <c r="C41" i="9"/>
  <c r="F45" i="9"/>
  <c r="P47" i="9"/>
  <c r="N47" i="9"/>
  <c r="J59" i="9"/>
  <c r="K59" i="9" s="1"/>
  <c r="O59" i="9"/>
  <c r="N59" i="9"/>
  <c r="C60" i="9"/>
  <c r="K60" i="9" s="1"/>
  <c r="C61" i="9"/>
  <c r="K61" i="9" s="1"/>
  <c r="I68" i="9"/>
  <c r="H68" i="9"/>
  <c r="U68" i="9"/>
  <c r="F80" i="9"/>
  <c r="B83" i="9"/>
  <c r="G102" i="9"/>
  <c r="I25" i="6"/>
  <c r="J25" i="6" s="1"/>
  <c r="I36" i="6"/>
  <c r="J36" i="6" s="1"/>
  <c r="I53" i="6"/>
  <c r="J53" i="6" s="1"/>
  <c r="J9" i="9"/>
  <c r="K9" i="9" s="1"/>
  <c r="N9" i="9"/>
  <c r="M9" i="9"/>
  <c r="Q69" i="9"/>
  <c r="N69" i="9"/>
  <c r="J69" i="9"/>
  <c r="F89" i="9"/>
  <c r="E89" i="9"/>
  <c r="L89" i="9"/>
  <c r="H98" i="9"/>
  <c r="I142" i="6"/>
  <c r="J142" i="6" s="1"/>
  <c r="M23" i="9"/>
  <c r="Q34" i="9"/>
  <c r="O67" i="9"/>
  <c r="R67" i="9" s="1"/>
  <c r="O71" i="9"/>
  <c r="R71" i="9" s="1"/>
  <c r="T98" i="9"/>
  <c r="O23" i="9"/>
  <c r="F19" i="9"/>
  <c r="Q19" i="9"/>
  <c r="C19" i="9"/>
  <c r="N19" i="9"/>
  <c r="L19" i="9"/>
  <c r="P19" i="9"/>
  <c r="O19" i="9"/>
  <c r="M19" i="9"/>
  <c r="J19" i="9"/>
  <c r="I19" i="9"/>
  <c r="H19" i="9"/>
  <c r="G19" i="9"/>
  <c r="I5" i="6"/>
  <c r="I158" i="6"/>
  <c r="J158" i="6" s="1"/>
  <c r="I170" i="6"/>
  <c r="J170" i="6" s="1"/>
  <c r="I182" i="6"/>
  <c r="J182" i="6" s="1"/>
  <c r="I194" i="6"/>
  <c r="J194" i="6" s="1"/>
  <c r="N12" i="9"/>
  <c r="B12" i="9"/>
  <c r="I12" i="9"/>
  <c r="J12" i="9"/>
  <c r="K12" i="9" s="1"/>
  <c r="D12" i="9"/>
  <c r="M12" i="9"/>
  <c r="L12" i="9"/>
  <c r="H12" i="9"/>
  <c r="G12" i="9"/>
  <c r="F12" i="9"/>
  <c r="U12" i="9"/>
  <c r="E12" i="9"/>
  <c r="T12" i="9"/>
  <c r="C12" i="9"/>
  <c r="D19" i="9"/>
  <c r="T21" i="9"/>
  <c r="R43" i="9"/>
  <c r="T58" i="9"/>
  <c r="H58" i="9"/>
  <c r="Q58" i="9"/>
  <c r="D58" i="9"/>
  <c r="L58" i="9"/>
  <c r="F58" i="9"/>
  <c r="B58" i="9"/>
  <c r="O58" i="9"/>
  <c r="P58" i="9"/>
  <c r="N58" i="9"/>
  <c r="M58" i="9"/>
  <c r="J58" i="9"/>
  <c r="I58" i="9"/>
  <c r="G58" i="9"/>
  <c r="P64" i="9"/>
  <c r="D64" i="9"/>
  <c r="U64" i="9"/>
  <c r="H64" i="9"/>
  <c r="M64" i="9"/>
  <c r="G64" i="9"/>
  <c r="B64" i="9"/>
  <c r="O64" i="9"/>
  <c r="L64" i="9"/>
  <c r="Q64" i="9"/>
  <c r="N64" i="9"/>
  <c r="J64" i="9"/>
  <c r="I64" i="9"/>
  <c r="F64" i="9"/>
  <c r="E64" i="9"/>
  <c r="C64" i="9"/>
  <c r="Q57" i="9"/>
  <c r="E57" i="9"/>
  <c r="L57" i="9"/>
  <c r="T57" i="9"/>
  <c r="G57" i="9"/>
  <c r="H57" i="9"/>
  <c r="U57" i="9"/>
  <c r="D57" i="9"/>
  <c r="P57" i="9"/>
  <c r="O57" i="9"/>
  <c r="N57" i="9"/>
  <c r="M57" i="9"/>
  <c r="J57" i="9"/>
  <c r="I57" i="9"/>
  <c r="F57" i="9"/>
  <c r="T26" i="9"/>
  <c r="H26" i="9"/>
  <c r="P26" i="9"/>
  <c r="R26" i="9" s="1"/>
  <c r="C26" i="9"/>
  <c r="L26" i="9"/>
  <c r="I26" i="9"/>
  <c r="U26" i="9"/>
  <c r="F26" i="9"/>
  <c r="N26" i="9"/>
  <c r="M26" i="9"/>
  <c r="J26" i="9"/>
  <c r="G26" i="9"/>
  <c r="E26" i="9"/>
  <c r="D26" i="9"/>
  <c r="B26" i="9"/>
  <c r="B57" i="9"/>
  <c r="I160" i="6"/>
  <c r="J160" i="6" s="1"/>
  <c r="I172" i="6"/>
  <c r="J172" i="6" s="1"/>
  <c r="T14" i="9"/>
  <c r="H14" i="9"/>
  <c r="F14" i="9"/>
  <c r="J14" i="9"/>
  <c r="Q14" i="9"/>
  <c r="C14" i="9"/>
  <c r="P14" i="9"/>
  <c r="O14" i="9"/>
  <c r="N14" i="9"/>
  <c r="M14" i="9"/>
  <c r="L14" i="9"/>
  <c r="I14" i="9"/>
  <c r="G14" i="9"/>
  <c r="O21" i="9"/>
  <c r="O26" i="9"/>
  <c r="C57" i="9"/>
  <c r="B14" i="9"/>
  <c r="B19" i="9"/>
  <c r="Q26" i="9"/>
  <c r="O12" i="9"/>
  <c r="E14" i="9"/>
  <c r="E19" i="9"/>
  <c r="N40" i="9"/>
  <c r="B40" i="9"/>
  <c r="P40" i="9"/>
  <c r="C40" i="9"/>
  <c r="J40" i="9"/>
  <c r="G40" i="9"/>
  <c r="T40" i="9"/>
  <c r="E40" i="9"/>
  <c r="Q40" i="9"/>
  <c r="O40" i="9"/>
  <c r="M40" i="9"/>
  <c r="L40" i="9"/>
  <c r="I40" i="9"/>
  <c r="H40" i="9"/>
  <c r="F40" i="9"/>
  <c r="D40" i="9"/>
  <c r="C58" i="9"/>
  <c r="I156" i="6"/>
  <c r="J156" i="6" s="1"/>
  <c r="I168" i="6"/>
  <c r="J168" i="6" s="1"/>
  <c r="I180" i="6"/>
  <c r="J180" i="6" s="1"/>
  <c r="I192" i="6"/>
  <c r="J192" i="6" s="1"/>
  <c r="I204" i="6"/>
  <c r="J204" i="6" s="1"/>
  <c r="P12" i="9"/>
  <c r="T19" i="9"/>
  <c r="N24" i="9"/>
  <c r="B24" i="9"/>
  <c r="F24" i="9"/>
  <c r="H24" i="9"/>
  <c r="T24" i="9"/>
  <c r="E24" i="9"/>
  <c r="Q24" i="9"/>
  <c r="P24" i="9"/>
  <c r="O24" i="9"/>
  <c r="M24" i="9"/>
  <c r="L24" i="9"/>
  <c r="J24" i="9"/>
  <c r="K24" i="9" s="1"/>
  <c r="I24" i="9"/>
  <c r="Q37" i="9"/>
  <c r="E37" i="9"/>
  <c r="M37" i="9"/>
  <c r="U37" i="9"/>
  <c r="H37" i="9"/>
  <c r="G37" i="9"/>
  <c r="T37" i="9"/>
  <c r="D37" i="9"/>
  <c r="P37" i="9"/>
  <c r="O37" i="9"/>
  <c r="N37" i="9"/>
  <c r="L37" i="9"/>
  <c r="J37" i="9"/>
  <c r="I37" i="9"/>
  <c r="E58" i="9"/>
  <c r="T64" i="9"/>
  <c r="U14" i="9"/>
  <c r="U19" i="9"/>
  <c r="L72" i="9"/>
  <c r="E72" i="9"/>
  <c r="I72" i="9"/>
  <c r="T72" i="9"/>
  <c r="D72" i="9"/>
  <c r="U72" i="9"/>
  <c r="B72" i="9"/>
  <c r="P72" i="9"/>
  <c r="N72" i="9"/>
  <c r="Q72" i="9"/>
  <c r="O72" i="9"/>
  <c r="M72" i="9"/>
  <c r="J72" i="9"/>
  <c r="K72" i="9" s="1"/>
  <c r="H72" i="9"/>
  <c r="U79" i="9"/>
  <c r="I79" i="9"/>
  <c r="O79" i="9"/>
  <c r="B79" i="9"/>
  <c r="E79" i="9"/>
  <c r="T79" i="9"/>
  <c r="D79" i="9"/>
  <c r="M79" i="9"/>
  <c r="F79" i="9"/>
  <c r="P79" i="9"/>
  <c r="Q79" i="9"/>
  <c r="N79" i="9"/>
  <c r="L79" i="9"/>
  <c r="J79" i="9"/>
  <c r="H79" i="9"/>
  <c r="G79" i="9"/>
  <c r="I184" i="6"/>
  <c r="J184" i="6" s="1"/>
  <c r="L15" i="9"/>
  <c r="Q15" i="9"/>
  <c r="C15" i="9"/>
  <c r="N15" i="9"/>
  <c r="J15" i="9"/>
  <c r="O15" i="9"/>
  <c r="M15" i="9"/>
  <c r="I15" i="9"/>
  <c r="H15" i="9"/>
  <c r="G15" i="9"/>
  <c r="F15" i="9"/>
  <c r="E15" i="9"/>
  <c r="U15" i="9"/>
  <c r="D15" i="9"/>
  <c r="N20" i="9"/>
  <c r="B20" i="9"/>
  <c r="J20" i="9"/>
  <c r="U20" i="9"/>
  <c r="G20" i="9"/>
  <c r="E20" i="9"/>
  <c r="P20" i="9"/>
  <c r="O20" i="9"/>
  <c r="M20" i="9"/>
  <c r="L20" i="9"/>
  <c r="I20" i="9"/>
  <c r="H20" i="9"/>
  <c r="F20" i="9"/>
  <c r="D20" i="9"/>
  <c r="C72" i="9"/>
  <c r="C79" i="9"/>
  <c r="Q11" i="9"/>
  <c r="D11" i="9"/>
  <c r="P11" i="9"/>
  <c r="R11" i="9" s="1"/>
  <c r="B11" i="9"/>
  <c r="J11" i="9"/>
  <c r="O11" i="9"/>
  <c r="N11" i="9"/>
  <c r="M11" i="9"/>
  <c r="L11" i="9"/>
  <c r="I11" i="9"/>
  <c r="H11" i="9"/>
  <c r="G11" i="9"/>
  <c r="B15" i="9"/>
  <c r="R17" i="9"/>
  <c r="C20" i="9"/>
  <c r="F72" i="9"/>
  <c r="I164" i="6"/>
  <c r="J164" i="6" s="1"/>
  <c r="I176" i="6"/>
  <c r="J176" i="6" s="1"/>
  <c r="I188" i="6"/>
  <c r="J188" i="6" s="1"/>
  <c r="I200" i="6"/>
  <c r="J200" i="6" s="1"/>
  <c r="C11" i="9"/>
  <c r="P15" i="9"/>
  <c r="Q20" i="9"/>
  <c r="U24" i="9"/>
  <c r="N32" i="9"/>
  <c r="B32" i="9"/>
  <c r="U32" i="9"/>
  <c r="H32" i="9"/>
  <c r="O32" i="9"/>
  <c r="I32" i="9"/>
  <c r="P32" i="9"/>
  <c r="M32" i="9"/>
  <c r="L32" i="9"/>
  <c r="J32" i="9"/>
  <c r="G32" i="9"/>
  <c r="F32" i="9"/>
  <c r="E32" i="9"/>
  <c r="D32" i="9"/>
  <c r="T38" i="9"/>
  <c r="H38" i="9"/>
  <c r="E38" i="9"/>
  <c r="M38" i="9"/>
  <c r="F38" i="9"/>
  <c r="Q38" i="9"/>
  <c r="B38" i="9"/>
  <c r="O38" i="9"/>
  <c r="U38" i="9"/>
  <c r="P38" i="9"/>
  <c r="R38" i="9" s="1"/>
  <c r="N38" i="9"/>
  <c r="L38" i="9"/>
  <c r="J38" i="9"/>
  <c r="I38" i="9"/>
  <c r="G72" i="9"/>
  <c r="L92" i="9"/>
  <c r="Q92" i="9"/>
  <c r="D92" i="9"/>
  <c r="P92" i="9"/>
  <c r="B92" i="9"/>
  <c r="G92" i="9"/>
  <c r="O92" i="9"/>
  <c r="N92" i="9"/>
  <c r="M92" i="9"/>
  <c r="J92" i="9"/>
  <c r="K92" i="9" s="1"/>
  <c r="H92" i="9"/>
  <c r="U92" i="9"/>
  <c r="T92" i="9"/>
  <c r="I92" i="9"/>
  <c r="F92" i="9"/>
  <c r="E92" i="9"/>
  <c r="O97" i="9"/>
  <c r="C97" i="9"/>
  <c r="Q97" i="9"/>
  <c r="D97" i="9"/>
  <c r="J97" i="9"/>
  <c r="G97" i="9"/>
  <c r="P97" i="9"/>
  <c r="M97" i="9"/>
  <c r="L97" i="9"/>
  <c r="H97" i="9"/>
  <c r="E97" i="9"/>
  <c r="U97" i="9"/>
  <c r="T97" i="9"/>
  <c r="N97" i="9"/>
  <c r="I97" i="9"/>
  <c r="F97" i="9"/>
  <c r="B97" i="9"/>
  <c r="O101" i="9"/>
  <c r="C101" i="9"/>
  <c r="U101" i="9"/>
  <c r="Q101" i="9"/>
  <c r="B101" i="9"/>
  <c r="J101" i="9"/>
  <c r="I101" i="9"/>
  <c r="T101" i="9"/>
  <c r="P101" i="9"/>
  <c r="M101" i="9"/>
  <c r="H101" i="9"/>
  <c r="N101" i="9"/>
  <c r="L101" i="9"/>
  <c r="G101" i="9"/>
  <c r="F101" i="9"/>
  <c r="Q21" i="9"/>
  <c r="E21" i="9"/>
  <c r="P21" i="9"/>
  <c r="C21" i="9"/>
  <c r="D21" i="9"/>
  <c r="N21" i="9"/>
  <c r="L21" i="9"/>
  <c r="M21" i="9"/>
  <c r="J21" i="9"/>
  <c r="I21" i="9"/>
  <c r="H21" i="9"/>
  <c r="G21" i="9"/>
  <c r="F21" i="9"/>
  <c r="B21" i="9"/>
  <c r="I196" i="6"/>
  <c r="J196" i="6" s="1"/>
  <c r="E11" i="9"/>
  <c r="R28" i="9"/>
  <c r="C32" i="9"/>
  <c r="C38" i="9"/>
  <c r="D101" i="9"/>
  <c r="M7" i="9"/>
  <c r="T22" i="9"/>
  <c r="H22" i="9"/>
  <c r="I22" i="9"/>
  <c r="L22" i="9"/>
  <c r="G22" i="9"/>
  <c r="E22" i="9"/>
  <c r="U27" i="9"/>
  <c r="H27" i="9"/>
  <c r="E27" i="9"/>
  <c r="P27" i="9"/>
  <c r="R27" i="9" s="1"/>
  <c r="B27" i="9"/>
  <c r="N27" i="9"/>
  <c r="T27" i="9"/>
  <c r="Q33" i="9"/>
  <c r="E33" i="9"/>
  <c r="M33" i="9"/>
  <c r="H33" i="9"/>
  <c r="D33" i="9"/>
  <c r="P33" i="9"/>
  <c r="R33" i="9" s="1"/>
  <c r="B33" i="9"/>
  <c r="U33" i="9"/>
  <c r="N35" i="9"/>
  <c r="R49" i="9"/>
  <c r="P52" i="9"/>
  <c r="R52" i="9" s="1"/>
  <c r="N54" i="9"/>
  <c r="P69" i="9"/>
  <c r="L73" i="9"/>
  <c r="L76" i="9"/>
  <c r="M76" i="9"/>
  <c r="J76" i="9"/>
  <c r="T76" i="9"/>
  <c r="E76" i="9"/>
  <c r="O76" i="9"/>
  <c r="G76" i="9"/>
  <c r="D76" i="9"/>
  <c r="F78" i="9"/>
  <c r="J78" i="9"/>
  <c r="L78" i="9"/>
  <c r="I78" i="9"/>
  <c r="C78" i="9"/>
  <c r="G78" i="9"/>
  <c r="U78" i="9"/>
  <c r="B78" i="9"/>
  <c r="Q78" i="9"/>
  <c r="I80" i="9"/>
  <c r="M81" i="9"/>
  <c r="U91" i="9"/>
  <c r="I91" i="9"/>
  <c r="L91" i="9"/>
  <c r="H91" i="9"/>
  <c r="M91" i="9"/>
  <c r="T91" i="9"/>
  <c r="E91" i="9"/>
  <c r="Q91" i="9"/>
  <c r="P91" i="9"/>
  <c r="R91" i="9" s="1"/>
  <c r="N91" i="9"/>
  <c r="J91" i="9"/>
  <c r="M10" i="9"/>
  <c r="N16" i="9"/>
  <c r="B16" i="9"/>
  <c r="Q16" i="9"/>
  <c r="D16" i="9"/>
  <c r="J16" i="9"/>
  <c r="U16" i="9"/>
  <c r="G16" i="9"/>
  <c r="E16" i="9"/>
  <c r="Q17" i="9"/>
  <c r="E17" i="9"/>
  <c r="I17" i="9"/>
  <c r="C17" i="9"/>
  <c r="K17" i="9" s="1"/>
  <c r="N17" i="9"/>
  <c r="L17" i="9"/>
  <c r="T17" i="9"/>
  <c r="B22" i="9"/>
  <c r="U22" i="9"/>
  <c r="C27" i="9"/>
  <c r="N28" i="9"/>
  <c r="B28" i="9"/>
  <c r="M28" i="9"/>
  <c r="L28" i="9"/>
  <c r="I28" i="9"/>
  <c r="U28" i="9"/>
  <c r="G28" i="9"/>
  <c r="P30" i="9"/>
  <c r="R30" i="9" s="1"/>
  <c r="C33" i="9"/>
  <c r="O35" i="9"/>
  <c r="R35" i="9" s="1"/>
  <c r="E43" i="9"/>
  <c r="M43" i="9"/>
  <c r="J43" i="9"/>
  <c r="K43" i="9" s="1"/>
  <c r="G43" i="9"/>
  <c r="T43" i="9"/>
  <c r="D43" i="9"/>
  <c r="U43" i="9"/>
  <c r="Q52" i="9"/>
  <c r="P55" i="9"/>
  <c r="K56" i="9"/>
  <c r="T62" i="9"/>
  <c r="P73" i="9"/>
  <c r="T74" i="9"/>
  <c r="B76" i="9"/>
  <c r="D78" i="9"/>
  <c r="J80" i="9"/>
  <c r="P81" i="9"/>
  <c r="L84" i="9"/>
  <c r="O84" i="9"/>
  <c r="B84" i="9"/>
  <c r="N84" i="9"/>
  <c r="H84" i="9"/>
  <c r="C84" i="9"/>
  <c r="K84" i="9" s="1"/>
  <c r="G84" i="9"/>
  <c r="E84" i="9"/>
  <c r="B91" i="9"/>
  <c r="L96" i="9"/>
  <c r="Q96" i="9"/>
  <c r="C96" i="9"/>
  <c r="M96" i="9"/>
  <c r="U96" i="9"/>
  <c r="F96" i="9"/>
  <c r="O96" i="9"/>
  <c r="N96" i="9"/>
  <c r="I96" i="9"/>
  <c r="G96" i="9"/>
  <c r="T6" i="9"/>
  <c r="H6" i="9"/>
  <c r="J6" i="9" s="1"/>
  <c r="K6" i="9" s="1"/>
  <c r="D6" i="9"/>
  <c r="I6" i="9"/>
  <c r="B6" i="9"/>
  <c r="C16" i="9"/>
  <c r="B17" i="9"/>
  <c r="U17" i="9"/>
  <c r="C22" i="9"/>
  <c r="D27" i="9"/>
  <c r="T28" i="9"/>
  <c r="F33" i="9"/>
  <c r="B43" i="9"/>
  <c r="Q45" i="9"/>
  <c r="E45" i="9"/>
  <c r="O45" i="9"/>
  <c r="B45" i="9"/>
  <c r="J45" i="9"/>
  <c r="K45" i="9" s="1"/>
  <c r="P45" i="9"/>
  <c r="L45" i="9"/>
  <c r="I45" i="9"/>
  <c r="U45" i="9"/>
  <c r="M47" i="9"/>
  <c r="T47" i="9"/>
  <c r="G47" i="9"/>
  <c r="U47" i="9"/>
  <c r="E47" i="9"/>
  <c r="Q47" i="9"/>
  <c r="B47" i="9"/>
  <c r="O47" i="9"/>
  <c r="N48" i="9"/>
  <c r="B48" i="9"/>
  <c r="E48" i="9"/>
  <c r="L48" i="9"/>
  <c r="P48" i="9"/>
  <c r="R48" i="9" s="1"/>
  <c r="I48" i="9"/>
  <c r="U48" i="9"/>
  <c r="J70" i="9"/>
  <c r="K70" i="9" s="1"/>
  <c r="L70" i="9"/>
  <c r="M70" i="9"/>
  <c r="T70" i="9"/>
  <c r="F70" i="9"/>
  <c r="P70" i="9"/>
  <c r="R70" i="9" s="1"/>
  <c r="H70" i="9"/>
  <c r="U70" i="9"/>
  <c r="C76" i="9"/>
  <c r="E78" i="9"/>
  <c r="Q81" i="9"/>
  <c r="U83" i="9"/>
  <c r="I83" i="9"/>
  <c r="J83" i="9"/>
  <c r="T83" i="9"/>
  <c r="F83" i="9"/>
  <c r="N83" i="9"/>
  <c r="G83" i="9"/>
  <c r="O83" i="9"/>
  <c r="R83" i="9" s="1"/>
  <c r="E83" i="9"/>
  <c r="D84" i="9"/>
  <c r="C91" i="9"/>
  <c r="B96" i="9"/>
  <c r="L100" i="9"/>
  <c r="F100" i="9"/>
  <c r="I100" i="9"/>
  <c r="Q100" i="9"/>
  <c r="C100" i="9"/>
  <c r="U100" i="9"/>
  <c r="D100" i="9"/>
  <c r="N100" i="9"/>
  <c r="T100" i="9"/>
  <c r="P100" i="9"/>
  <c r="R100" i="9" s="1"/>
  <c r="M100" i="9"/>
  <c r="J100" i="9"/>
  <c r="D22" i="9"/>
  <c r="F27" i="9"/>
  <c r="Q29" i="9"/>
  <c r="E29" i="9"/>
  <c r="F29" i="9"/>
  <c r="U29" i="9"/>
  <c r="G29" i="9"/>
  <c r="P29" i="9"/>
  <c r="R29" i="9" s="1"/>
  <c r="B29" i="9"/>
  <c r="N29" i="9"/>
  <c r="T30" i="9"/>
  <c r="H30" i="9"/>
  <c r="N30" i="9"/>
  <c r="J30" i="9"/>
  <c r="G30" i="9"/>
  <c r="G33" i="9"/>
  <c r="T46" i="9"/>
  <c r="H46" i="9"/>
  <c r="U46" i="9"/>
  <c r="G46" i="9"/>
  <c r="O46" i="9"/>
  <c r="R46" i="9" s="1"/>
  <c r="B46" i="9"/>
  <c r="F46" i="9"/>
  <c r="D46" i="9"/>
  <c r="Q49" i="9"/>
  <c r="E49" i="9"/>
  <c r="J49" i="9"/>
  <c r="D49" i="9"/>
  <c r="G49" i="9"/>
  <c r="T49" i="9"/>
  <c r="C49" i="9"/>
  <c r="T51" i="9"/>
  <c r="G51" i="9"/>
  <c r="O51" i="9"/>
  <c r="B51" i="9"/>
  <c r="P51" i="9"/>
  <c r="L51" i="9"/>
  <c r="I51" i="9"/>
  <c r="U51" i="9"/>
  <c r="J62" i="9"/>
  <c r="L62" i="9"/>
  <c r="P62" i="9"/>
  <c r="B62" i="9"/>
  <c r="I62" i="9"/>
  <c r="C62" i="9"/>
  <c r="O62" i="9"/>
  <c r="M62" i="9"/>
  <c r="U75" i="9"/>
  <c r="I75" i="9"/>
  <c r="T75" i="9"/>
  <c r="G75" i="9"/>
  <c r="Q75" i="9"/>
  <c r="C75" i="9"/>
  <c r="D75" i="9"/>
  <c r="N75" i="9"/>
  <c r="J75" i="9"/>
  <c r="F75" i="9"/>
  <c r="F76" i="9"/>
  <c r="H78" i="9"/>
  <c r="D91" i="9"/>
  <c r="I7" i="9"/>
  <c r="B7" i="9"/>
  <c r="J35" i="9"/>
  <c r="H35" i="9"/>
  <c r="E35" i="9"/>
  <c r="Q35" i="9"/>
  <c r="C35" i="9"/>
  <c r="T35" i="9"/>
  <c r="N52" i="9"/>
  <c r="B52" i="9"/>
  <c r="L52" i="9"/>
  <c r="T52" i="9"/>
  <c r="G52" i="9"/>
  <c r="J52" i="9"/>
  <c r="K52" i="9" s="1"/>
  <c r="F52" i="9"/>
  <c r="D52" i="9"/>
  <c r="T54" i="9"/>
  <c r="H54" i="9"/>
  <c r="J54" i="9"/>
  <c r="K54" i="9" s="1"/>
  <c r="Q54" i="9"/>
  <c r="D54" i="9"/>
  <c r="O54" i="9"/>
  <c r="L54" i="9"/>
  <c r="I54" i="9"/>
  <c r="U54" i="9"/>
  <c r="R56" i="9"/>
  <c r="G69" i="9"/>
  <c r="T69" i="9"/>
  <c r="F69" i="9"/>
  <c r="D69" i="9"/>
  <c r="M69" i="9"/>
  <c r="U69" i="9"/>
  <c r="B69" i="9"/>
  <c r="O69" i="9"/>
  <c r="L69" i="9"/>
  <c r="F74" i="9"/>
  <c r="O74" i="9"/>
  <c r="B74" i="9"/>
  <c r="J74" i="9"/>
  <c r="P74" i="9"/>
  <c r="R74" i="9" s="1"/>
  <c r="I74" i="9"/>
  <c r="Q74" i="9"/>
  <c r="L74" i="9"/>
  <c r="H74" i="9"/>
  <c r="F82" i="9"/>
  <c r="Q82" i="9"/>
  <c r="D82" i="9"/>
  <c r="M82" i="9"/>
  <c r="T82" i="9"/>
  <c r="C82" i="9"/>
  <c r="K82" i="9" s="1"/>
  <c r="L82" i="9"/>
  <c r="P82" i="9"/>
  <c r="I82" i="9"/>
  <c r="U95" i="9"/>
  <c r="I95" i="9"/>
  <c r="F95" i="9"/>
  <c r="J95" i="9"/>
  <c r="Q95" i="9"/>
  <c r="B95" i="9"/>
  <c r="L95" i="9"/>
  <c r="P95" i="9"/>
  <c r="O95" i="9"/>
  <c r="M95" i="9"/>
  <c r="H95" i="9"/>
  <c r="F102" i="9"/>
  <c r="L102" i="9"/>
  <c r="D102" i="9"/>
  <c r="U102" i="9"/>
  <c r="E102" i="9"/>
  <c r="O102" i="9"/>
  <c r="H102" i="9"/>
  <c r="T102" i="9"/>
  <c r="Q102" i="9"/>
  <c r="N102" i="9"/>
  <c r="J102" i="9"/>
  <c r="K102" i="9" s="1"/>
  <c r="C7" i="9"/>
  <c r="F7" i="9" s="1"/>
  <c r="T10" i="9"/>
  <c r="H10" i="9"/>
  <c r="L10" i="9"/>
  <c r="I10" i="9"/>
  <c r="Q10" i="9"/>
  <c r="C10" i="9"/>
  <c r="K10" i="9" s="1"/>
  <c r="J22" i="9"/>
  <c r="I27" i="9"/>
  <c r="D29" i="9"/>
  <c r="C30" i="9"/>
  <c r="U30" i="9"/>
  <c r="J33" i="9"/>
  <c r="B35" i="9"/>
  <c r="U35" i="9"/>
  <c r="E46" i="9"/>
  <c r="F49" i="9"/>
  <c r="D51" i="9"/>
  <c r="C52" i="9"/>
  <c r="B54" i="9"/>
  <c r="O55" i="9"/>
  <c r="B55" i="9"/>
  <c r="I55" i="9"/>
  <c r="J55" i="9"/>
  <c r="K55" i="9" s="1"/>
  <c r="U55" i="9"/>
  <c r="F55" i="9"/>
  <c r="D55" i="9"/>
  <c r="E62" i="9"/>
  <c r="C69" i="9"/>
  <c r="K69" i="9" s="1"/>
  <c r="C74" i="9"/>
  <c r="E75" i="9"/>
  <c r="I76" i="9"/>
  <c r="M78" i="9"/>
  <c r="B82" i="9"/>
  <c r="G91" i="9"/>
  <c r="C95" i="9"/>
  <c r="B102" i="9"/>
  <c r="D7" i="9"/>
  <c r="T7" i="9"/>
  <c r="K27" i="9"/>
  <c r="D35" i="9"/>
  <c r="E52" i="9"/>
  <c r="C54" i="9"/>
  <c r="E69" i="9"/>
  <c r="O73" i="9"/>
  <c r="C73" i="9"/>
  <c r="J73" i="9"/>
  <c r="Q73" i="9"/>
  <c r="B73" i="9"/>
  <c r="U73" i="9"/>
  <c r="F73" i="9"/>
  <c r="N73" i="9"/>
  <c r="M73" i="9"/>
  <c r="D74" i="9"/>
  <c r="O81" i="9"/>
  <c r="C81" i="9"/>
  <c r="K81" i="9" s="1"/>
  <c r="L81" i="9"/>
  <c r="T81" i="9"/>
  <c r="F81" i="9"/>
  <c r="I81" i="9"/>
  <c r="B81" i="9"/>
  <c r="N81" i="9"/>
  <c r="E82" i="9"/>
  <c r="D95" i="9"/>
  <c r="C102" i="9"/>
  <c r="L80" i="9"/>
  <c r="T80" i="9"/>
  <c r="G80" i="9"/>
  <c r="M80" i="9"/>
  <c r="O80" i="9"/>
  <c r="H80" i="9"/>
  <c r="U80" i="9"/>
  <c r="C80" i="9"/>
  <c r="Q80" i="9"/>
  <c r="N80" i="9"/>
  <c r="P31" i="9"/>
  <c r="C31" i="9"/>
  <c r="K31" i="9" s="1"/>
  <c r="O31" i="9"/>
  <c r="J66" i="9"/>
  <c r="K66" i="9" s="1"/>
  <c r="E66" i="9"/>
  <c r="N66" i="9"/>
  <c r="H66" i="9"/>
  <c r="Q66" i="9"/>
  <c r="O77" i="9"/>
  <c r="R77" i="9" s="1"/>
  <c r="C77" i="9"/>
  <c r="K77" i="9" s="1"/>
  <c r="E77" i="9"/>
  <c r="D77" i="9"/>
  <c r="N77" i="9"/>
  <c r="I77" i="9"/>
  <c r="U77" i="9"/>
  <c r="O85" i="9"/>
  <c r="C85" i="9"/>
  <c r="T85" i="9"/>
  <c r="G85" i="9"/>
  <c r="H85" i="9"/>
  <c r="B85" i="9"/>
  <c r="L85" i="9"/>
  <c r="U85" i="9"/>
  <c r="Q25" i="9"/>
  <c r="E25" i="9"/>
  <c r="O25" i="9"/>
  <c r="Q41" i="9"/>
  <c r="E41" i="9"/>
  <c r="U41" i="9"/>
  <c r="H41" i="9"/>
  <c r="O41" i="9"/>
  <c r="R41" i="9" s="1"/>
  <c r="B41" i="9"/>
  <c r="N44" i="9"/>
  <c r="B44" i="9"/>
  <c r="J44" i="9"/>
  <c r="K44" i="9" s="1"/>
  <c r="E44" i="9"/>
  <c r="Q44" i="9"/>
  <c r="T50" i="9"/>
  <c r="H50" i="9"/>
  <c r="O50" i="9"/>
  <c r="R50" i="9" s="1"/>
  <c r="B50" i="9"/>
  <c r="J50" i="9"/>
  <c r="Q50" i="9"/>
  <c r="Q53" i="9"/>
  <c r="E53" i="9"/>
  <c r="D53" i="9"/>
  <c r="L53" i="9"/>
  <c r="P53" i="9"/>
  <c r="G61" i="9"/>
  <c r="T61" i="9"/>
  <c r="F61" i="9"/>
  <c r="I61" i="9"/>
  <c r="P61" i="9"/>
  <c r="B61" i="9"/>
  <c r="Q103" i="9"/>
  <c r="E5" i="9"/>
  <c r="L5" i="9"/>
  <c r="Q9" i="9"/>
  <c r="E9" i="9"/>
  <c r="T9" i="9"/>
  <c r="G9" i="9"/>
  <c r="O9" i="9"/>
  <c r="R9" i="9" s="1"/>
  <c r="D25" i="9"/>
  <c r="T34" i="9"/>
  <c r="H34" i="9"/>
  <c r="E34" i="9"/>
  <c r="O34" i="9"/>
  <c r="R34" i="9" s="1"/>
  <c r="N36" i="9"/>
  <c r="B36" i="9"/>
  <c r="U36" i="9"/>
  <c r="P36" i="9"/>
  <c r="R36" i="9" s="1"/>
  <c r="C36" i="9"/>
  <c r="Q36" i="9"/>
  <c r="J39" i="9"/>
  <c r="E39" i="9"/>
  <c r="P39" i="9"/>
  <c r="F41" i="9"/>
  <c r="T42" i="9"/>
  <c r="H42" i="9"/>
  <c r="M42" i="9"/>
  <c r="U42" i="9"/>
  <c r="G42" i="9"/>
  <c r="P42" i="9"/>
  <c r="R42" i="9" s="1"/>
  <c r="F44" i="9"/>
  <c r="U44" i="9"/>
  <c r="E50" i="9"/>
  <c r="U50" i="9"/>
  <c r="F53" i="9"/>
  <c r="U53" i="9"/>
  <c r="I59" i="9"/>
  <c r="Q59" i="9"/>
  <c r="D59" i="9"/>
  <c r="P59" i="9"/>
  <c r="R59" i="9" s="1"/>
  <c r="E61" i="9"/>
  <c r="U87" i="9"/>
  <c r="I87" i="9"/>
  <c r="Q87" i="9"/>
  <c r="D87" i="9"/>
  <c r="H87" i="9"/>
  <c r="F87" i="9"/>
  <c r="O87" i="9"/>
  <c r="R87" i="9" s="1"/>
  <c r="U103" i="9"/>
  <c r="I103" i="9"/>
  <c r="O103" i="9"/>
  <c r="C103" i="9"/>
  <c r="K103" i="9" s="1"/>
  <c r="L103" i="9"/>
  <c r="F103" i="9"/>
  <c r="P103" i="9"/>
  <c r="M103" i="9"/>
  <c r="E103" i="9"/>
  <c r="N8" i="9"/>
  <c r="B8" i="9"/>
  <c r="O8" i="9"/>
  <c r="R8" i="9" s="1"/>
  <c r="Q13" i="9"/>
  <c r="E13" i="9"/>
  <c r="N13" i="9"/>
  <c r="T18" i="9"/>
  <c r="H18" i="9"/>
  <c r="N18" i="9"/>
  <c r="N56" i="9"/>
  <c r="B56" i="9"/>
  <c r="O56" i="9"/>
  <c r="G65" i="9"/>
  <c r="M65" i="9"/>
  <c r="O65" i="9"/>
  <c r="R65" i="9" s="1"/>
  <c r="P60" i="9"/>
  <c r="N60" i="9"/>
  <c r="B60" i="9"/>
  <c r="O60" i="9"/>
  <c r="L88" i="9"/>
  <c r="I88" i="9"/>
  <c r="P88" i="9"/>
  <c r="B88" i="9"/>
  <c r="Q88" i="9"/>
  <c r="O93" i="9"/>
  <c r="C93" i="9"/>
  <c r="I93" i="9"/>
  <c r="J93" i="9"/>
  <c r="K93" i="9" s="1"/>
  <c r="Q93" i="9"/>
  <c r="F98" i="9"/>
  <c r="I98" i="9"/>
  <c r="Q98" i="9"/>
  <c r="C98" i="9"/>
  <c r="K98" i="9" s="1"/>
  <c r="P98" i="9"/>
  <c r="R98" i="9" s="1"/>
  <c r="P68" i="9"/>
  <c r="R68" i="9" s="1"/>
  <c r="D68" i="9"/>
  <c r="N68" i="9"/>
  <c r="F86" i="9"/>
  <c r="L86" i="9"/>
  <c r="O86" i="9"/>
  <c r="R86" i="9" s="1"/>
  <c r="F90" i="9"/>
  <c r="T90" i="9"/>
  <c r="G90" i="9"/>
  <c r="O90" i="9"/>
  <c r="R90" i="9" s="1"/>
  <c r="R94" i="9"/>
  <c r="O104" i="9"/>
  <c r="C104" i="9"/>
  <c r="M104" i="9"/>
  <c r="T104" i="9"/>
  <c r="G104" i="9"/>
  <c r="F104" i="9"/>
  <c r="M71" i="9"/>
  <c r="O89" i="9"/>
  <c r="R89" i="9" s="1"/>
  <c r="C89" i="9"/>
  <c r="K89" i="9" s="1"/>
  <c r="N89" i="9"/>
  <c r="N94" i="9"/>
  <c r="U99" i="9"/>
  <c r="I99" i="9"/>
  <c r="N99" i="9"/>
  <c r="R63" i="9" l="1"/>
  <c r="K33" i="9"/>
  <c r="R82" i="9"/>
  <c r="K91" i="9"/>
  <c r="R76" i="9"/>
  <c r="R101" i="9"/>
  <c r="O5" i="9"/>
  <c r="P5" i="9" s="1"/>
  <c r="R5" i="9" s="1"/>
  <c r="K50" i="9"/>
  <c r="R32" i="9"/>
  <c r="R72" i="9"/>
  <c r="R40" i="9"/>
  <c r="K37" i="9"/>
  <c r="K53" i="9"/>
  <c r="K99" i="9"/>
  <c r="R44" i="9"/>
  <c r="R12" i="9"/>
  <c r="R60" i="9"/>
  <c r="R61" i="9"/>
  <c r="K85" i="9"/>
  <c r="R47" i="9"/>
  <c r="K65" i="9"/>
  <c r="K39" i="9"/>
  <c r="R102" i="9"/>
  <c r="K16" i="9"/>
  <c r="K64" i="9"/>
  <c r="R23" i="9"/>
  <c r="K28" i="9"/>
  <c r="K87" i="9"/>
  <c r="J7" i="9"/>
  <c r="K7" i="9" s="1"/>
  <c r="O7" i="9" s="1"/>
  <c r="R53" i="9"/>
  <c r="R51" i="9"/>
  <c r="K100" i="9"/>
  <c r="R99" i="9"/>
  <c r="R64" i="9"/>
  <c r="F5" i="9"/>
  <c r="N5" i="9" s="1"/>
  <c r="S19" i="9" s="1"/>
  <c r="K75" i="9"/>
  <c r="R96" i="9"/>
  <c r="K38" i="9"/>
  <c r="R75" i="9"/>
  <c r="K74" i="9"/>
  <c r="R93" i="9"/>
  <c r="R85" i="9"/>
  <c r="R24" i="9"/>
  <c r="K32" i="9"/>
  <c r="K15" i="9"/>
  <c r="R66" i="9"/>
  <c r="R13" i="9"/>
  <c r="R104" i="9"/>
  <c r="R25" i="9"/>
  <c r="K22" i="9"/>
  <c r="K49" i="9"/>
  <c r="K83" i="9"/>
  <c r="O6" i="9"/>
  <c r="P6" i="9" s="1"/>
  <c r="R6" i="9" s="1"/>
  <c r="K42" i="9"/>
  <c r="N7" i="9"/>
  <c r="R80" i="9"/>
  <c r="R39" i="9"/>
  <c r="R14" i="9"/>
  <c r="R88" i="9"/>
  <c r="K36" i="9"/>
  <c r="R54" i="9"/>
  <c r="R21" i="9"/>
  <c r="K101" i="9"/>
  <c r="K95" i="9"/>
  <c r="S101" i="9"/>
  <c r="K97" i="9"/>
  <c r="F6" i="9"/>
  <c r="N6" i="9" s="1"/>
  <c r="R103" i="9"/>
  <c r="K73" i="9"/>
  <c r="K30" i="9"/>
  <c r="K40" i="9"/>
  <c r="R19" i="9"/>
  <c r="K20" i="9"/>
  <c r="R81" i="9"/>
  <c r="R37" i="9"/>
  <c r="R57" i="9"/>
  <c r="K80" i="9"/>
  <c r="K79" i="9"/>
  <c r="R31" i="9"/>
  <c r="K76" i="9"/>
  <c r="R92" i="9"/>
  <c r="K11" i="9"/>
  <c r="B16" i="2"/>
  <c r="J5" i="6"/>
  <c r="K35" i="9"/>
  <c r="R15" i="9"/>
  <c r="K58" i="9"/>
  <c r="R95" i="9"/>
  <c r="R73" i="9"/>
  <c r="R79" i="9"/>
  <c r="K14" i="9"/>
  <c r="R62" i="9"/>
  <c r="R45" i="9"/>
  <c r="R69" i="9"/>
  <c r="R58" i="9"/>
  <c r="S8" i="9"/>
  <c r="S96" i="9"/>
  <c r="K78" i="9"/>
  <c r="R97" i="9"/>
  <c r="R20" i="9"/>
  <c r="K26" i="9"/>
  <c r="K19" i="9"/>
  <c r="K62" i="9"/>
  <c r="R55" i="9"/>
  <c r="K21" i="9"/>
  <c r="K57" i="9"/>
  <c r="S7" i="9" l="1"/>
  <c r="U7" i="9" s="1"/>
  <c r="S17" i="9"/>
  <c r="Q5" i="9"/>
  <c r="S87" i="9"/>
  <c r="S16" i="9"/>
  <c r="S27" i="9"/>
  <c r="S21" i="9"/>
  <c r="S74" i="9"/>
  <c r="S89" i="9"/>
  <c r="S55" i="9"/>
  <c r="S5" i="9"/>
  <c r="U5" i="9" s="1"/>
  <c r="S84" i="9"/>
  <c r="S14" i="9"/>
  <c r="S69" i="9"/>
  <c r="S63" i="9"/>
  <c r="S44" i="9"/>
  <c r="S10" i="9"/>
  <c r="S85" i="9"/>
  <c r="S60" i="9"/>
  <c r="S37" i="9"/>
  <c r="S36" i="9"/>
  <c r="S75" i="9"/>
  <c r="S11" i="9"/>
  <c r="S95" i="9"/>
  <c r="S18" i="9"/>
  <c r="S73" i="9"/>
  <c r="S57" i="9"/>
  <c r="S99" i="9"/>
  <c r="S15" i="9"/>
  <c r="S78" i="9"/>
  <c r="S93" i="9"/>
  <c r="S48" i="9"/>
  <c r="S28" i="9"/>
  <c r="S83" i="9"/>
  <c r="S102" i="9"/>
  <c r="S29" i="9"/>
  <c r="S32" i="9"/>
  <c r="S42" i="9"/>
  <c r="S12" i="9"/>
  <c r="S80" i="9"/>
  <c r="S38" i="9"/>
  <c r="S9" i="9"/>
  <c r="S81" i="9"/>
  <c r="S77" i="9"/>
  <c r="S56" i="9"/>
  <c r="S72" i="9"/>
  <c r="S79" i="9"/>
  <c r="S76" i="9"/>
  <c r="S51" i="9"/>
  <c r="P7" i="9"/>
  <c r="Q7" i="9"/>
  <c r="S66" i="9"/>
  <c r="S104" i="9"/>
  <c r="S34" i="9"/>
  <c r="S53" i="9"/>
  <c r="S6" i="9"/>
  <c r="U6" i="9" s="1"/>
  <c r="Q6" i="9"/>
  <c r="S86" i="9"/>
  <c r="S71" i="9"/>
  <c r="S50" i="9"/>
  <c r="S39" i="9"/>
  <c r="S26" i="9"/>
  <c r="S103" i="9"/>
  <c r="S22" i="9"/>
  <c r="S61" i="9"/>
  <c r="S90" i="9"/>
  <c r="S24" i="9"/>
  <c r="S47" i="9"/>
  <c r="S62" i="9"/>
  <c r="S43" i="9"/>
  <c r="S59" i="9"/>
  <c r="S13" i="9"/>
  <c r="S97" i="9"/>
  <c r="S92" i="9"/>
  <c r="S54" i="9"/>
  <c r="S46" i="9"/>
  <c r="S88" i="9"/>
  <c r="S23" i="9"/>
  <c r="S68" i="9"/>
  <c r="S30" i="9"/>
  <c r="S64" i="9"/>
  <c r="S35" i="9"/>
  <c r="S65" i="9"/>
  <c r="S70" i="9"/>
  <c r="S33" i="9"/>
  <c r="S31" i="9"/>
  <c r="S58" i="9"/>
  <c r="S94" i="9"/>
  <c r="S40" i="9"/>
  <c r="S20" i="9"/>
  <c r="S91" i="9"/>
  <c r="S52" i="9"/>
  <c r="S49" i="9"/>
  <c r="S82" i="9"/>
  <c r="S41" i="9"/>
  <c r="S98" i="9"/>
  <c r="S100" i="9"/>
  <c r="S45" i="9"/>
  <c r="S25" i="9"/>
  <c r="B12" i="2"/>
  <c r="B14" i="2" s="1"/>
  <c r="B17" i="2" s="1"/>
  <c r="B18" i="2" s="1"/>
  <c r="S67" i="9"/>
  <c r="R7" i="9" l="1"/>
  <c r="B15" i="2"/>
</calcChain>
</file>

<file path=xl/sharedStrings.xml><?xml version="1.0" encoding="utf-8"?>
<sst xmlns="http://schemas.openxmlformats.org/spreadsheetml/2006/main" count="323" uniqueCount="257">
  <si>
    <t>GUÍA RÁPIDA DE USO – REGISTRO DE INVERSIONES V4</t>
  </si>
  <si>
    <t>Registra solo hechos reales. No edites Resumen ni Posiciones. Rendimiento conserva snapshots históricos.</t>
  </si>
  <si>
    <t>Paso / indicador</t>
  </si>
  <si>
    <t>Hoja / concepto</t>
  </si>
  <si>
    <t>Qué significa / qué haces</t>
  </si>
  <si>
    <t>Ejemplo</t>
  </si>
  <si>
    <t>¿Editable?</t>
  </si>
  <si>
    <t>Regla</t>
  </si>
  <si>
    <t>1</t>
  </si>
  <si>
    <t>Activos</t>
  </si>
  <si>
    <t>Crea cada ticker una sola vez</t>
  </si>
  <si>
    <t>IVV / VXUS / BTC</t>
  </si>
  <si>
    <t>Sí</t>
  </si>
  <si>
    <t>Define tipo, moneda y objetivo</t>
  </si>
  <si>
    <t>2</t>
  </si>
  <si>
    <t>Aportes</t>
  </si>
  <si>
    <t>Registra dinero que sale de tu bolsillo</t>
  </si>
  <si>
    <t>$200 → $195.58</t>
  </si>
  <si>
    <t>Una fila por fondeo</t>
  </si>
  <si>
    <t>3</t>
  </si>
  <si>
    <t>Transacciones</t>
  </si>
  <si>
    <t>Registra COMPRA o VENTA</t>
  </si>
  <si>
    <t>COMPRA IVV $112</t>
  </si>
  <si>
    <t>Monto operación = valor real del broker</t>
  </si>
  <si>
    <t>4</t>
  </si>
  <si>
    <t>Referidos</t>
  </si>
  <si>
    <t>Registra la cantidad recibida y conserva precio/valor del día de entrega; el valor actual se recalcula con mercado.</t>
  </si>
  <si>
    <t>BTC: 0.00001196; recibido $1.00</t>
  </si>
  <si>
    <t>No aumenta aporte propio; no cambies cantidad, precio al recibir ni valor recibido.</t>
  </si>
  <si>
    <t>5</t>
  </si>
  <si>
    <t>Dividendos</t>
  </si>
  <si>
    <t>Registra bruto, retenciones y neto</t>
  </si>
  <si>
    <t>IVV/VXUS</t>
  </si>
  <si>
    <t>Si reinviertes, crea además una COMPRA</t>
  </si>
  <si>
    <t>6</t>
  </si>
  <si>
    <t>Precios</t>
  </si>
  <si>
    <t>Agrega precio histórico</t>
  </si>
  <si>
    <t>22/10 IVV $...</t>
  </si>
  <si>
    <t>No sobrescribas precios anteriores</t>
  </si>
  <si>
    <t>7</t>
  </si>
  <si>
    <t>Posiciones</t>
  </si>
  <si>
    <t>Revisa tenencias consolidadas</t>
  </si>
  <si>
    <t>Comprado - vendido + referido</t>
  </si>
  <si>
    <t>No</t>
  </si>
  <si>
    <t>Todo se calcula</t>
  </si>
  <si>
    <t>8</t>
  </si>
  <si>
    <t>Resumen</t>
  </si>
  <si>
    <t>Interpreta patrimonio y efectivo</t>
  </si>
  <si>
    <t>Resultado vs bolsillo</t>
  </si>
  <si>
    <t>9</t>
  </si>
  <si>
    <t>Rendimiento</t>
  </si>
  <si>
    <t>Guarda fotografías del portafolio</t>
  </si>
  <si>
    <t>Fin de mes</t>
  </si>
  <si>
    <t>Sí, valores</t>
  </si>
  <si>
    <t>No enlaces snapshots a precios futuros</t>
  </si>
  <si>
    <t>CÓMO REGISTRAR UN APORTE</t>
  </si>
  <si>
    <t>Aporte real</t>
  </si>
  <si>
    <t>Dinero que salió de tu bolsillo</t>
  </si>
  <si>
    <t>$200</t>
  </si>
  <si>
    <t>Neto broker</t>
  </si>
  <si>
    <t>Dinero que realmente llegó</t>
  </si>
  <si>
    <t>$195.58</t>
  </si>
  <si>
    <t>Costo fondeo</t>
  </si>
  <si>
    <t>Aporte - neto</t>
  </si>
  <si>
    <t>$4.42</t>
  </si>
  <si>
    <t>CÓMO REGISTRAR UNA TRANSACCIÓN</t>
  </si>
  <si>
    <t>Movimiento</t>
  </si>
  <si>
    <t>COMPRA o VENTA</t>
  </si>
  <si>
    <t>COMPRA</t>
  </si>
  <si>
    <t>Cantidad</t>
  </si>
  <si>
    <t>Unidades ejecutadas</t>
  </si>
  <si>
    <t>0.14553 IVV</t>
  </si>
  <si>
    <t>Precio ejecución</t>
  </si>
  <si>
    <t>Precio por unidad</t>
  </si>
  <si>
    <t>$769.57</t>
  </si>
  <si>
    <t>Monto operación</t>
  </si>
  <si>
    <t>Importe real antes de comisión</t>
  </si>
  <si>
    <t>$112.00</t>
  </si>
  <si>
    <t>Comisión</t>
  </si>
  <si>
    <t>Costo cobrado por el broker</t>
  </si>
  <si>
    <t>$0.15</t>
  </si>
  <si>
    <t>Efectivo neto</t>
  </si>
  <si>
    <t>Compra resta; venta suma</t>
  </si>
  <si>
    <t>-$112.15</t>
  </si>
  <si>
    <t>CÓMO LEER POSICIONES</t>
  </si>
  <si>
    <t>Cantidad actual</t>
  </si>
  <si>
    <t>Costo promedio compra</t>
  </si>
  <si>
    <t>Costo total compras / cantidad comprada</t>
  </si>
  <si>
    <t>Valor actual</t>
  </si>
  <si>
    <t>Cantidad actual × último precio</t>
  </si>
  <si>
    <t>G/P no realizada</t>
  </si>
  <si>
    <t>Movimiento de mercado de compras aún mantenidas</t>
  </si>
  <si>
    <t>Resultado patrimonial</t>
  </si>
  <si>
    <t>Valor actual - costo base de compras. Los referidos suman patrimonio porque su costo desde bolsillo es $0; no confundir con el rendimiento del referido.</t>
  </si>
  <si>
    <t>Peso actual</t>
  </si>
  <si>
    <t>Valor del activo / valor total de posiciones</t>
  </si>
  <si>
    <t>Diferencia</t>
  </si>
  <si>
    <t>Peso actual - objetivo</t>
  </si>
  <si>
    <t>CÓMO LEER EL RESUMEN</t>
  </si>
  <si>
    <t>Aportado de bolsillo</t>
  </si>
  <si>
    <t>Todo el dinero que tú has puesto</t>
  </si>
  <si>
    <t>Lo que llegó después de fondeo</t>
  </si>
  <si>
    <t>Fricción total</t>
  </si>
  <si>
    <t>Costos de fondeo + comisiones</t>
  </si>
  <si>
    <t>Efectivo</t>
  </si>
  <si>
    <t>Neto broker + flujos de transacciones + dividendos</t>
  </si>
  <si>
    <t>Valor posiciones</t>
  </si>
  <si>
    <t>Valor actual de todos los activos, incluidos referidos</t>
  </si>
  <si>
    <t>Valor total</t>
  </si>
  <si>
    <t>Efectivo + valor posiciones</t>
  </si>
  <si>
    <t>Valor total - dinero aportado</t>
  </si>
  <si>
    <t>Rentabilidad vs bolsillo</t>
  </si>
  <si>
    <t>Resultado / dinero aportado</t>
  </si>
  <si>
    <t>DIVIDENDOS REINVERTIDOS</t>
  </si>
  <si>
    <t>Correcto</t>
  </si>
  <si>
    <t>Dividendos registra el neto recibido y Transacciones registra una COMPRA aparte. Así el efectivo sube y luego baja una sola vez.</t>
  </si>
  <si>
    <t>Incorrecto</t>
  </si>
  <si>
    <t>Restar reinversión dentro de Dividendos y además registrar la compra: descuenta dos veces.</t>
  </si>
  <si>
    <t>RENDIMIENTO / SNAPSHOTS</t>
  </si>
  <si>
    <t>Qué es</t>
  </si>
  <si>
    <t>Una fotografía histórica del portafolio en una fecha.</t>
  </si>
  <si>
    <t>Cómo</t>
  </si>
  <si>
    <t>Copia los valores actuales y pégalos como valores en una nueva fila.</t>
  </si>
  <si>
    <t>Por qué</t>
  </si>
  <si>
    <t>Separa crecimiento por nuevos aportes de crecimiento por mercado.</t>
  </si>
  <si>
    <t>IMPORTANTE SOBRE VENTAS</t>
  </si>
  <si>
    <t>Nota</t>
  </si>
  <si>
    <t>La V4 actualiza cantidad y efectivo con VENTAS. El costo base actual usa costo promedio de compras; fiscalidad/lotes específicos requieren definir FIFO, promedio móvil u otro método.</t>
  </si>
  <si>
    <t>CONTROL DE INVERSIONES - RESUMEN</t>
  </si>
  <si>
    <t>Vista automática. Registra datos en Activos, Aportes, Transacciones, Referidos, Dividendos y Precios.</t>
  </si>
  <si>
    <t>Dinero aportado de tu bolsillo ($)</t>
  </si>
  <si>
    <t>Neto que llegó al broker ($)</t>
  </si>
  <si>
    <t>Costos de fondeo / conversión ($)</t>
  </si>
  <si>
    <t>Monto bruto comprado ($)</t>
  </si>
  <si>
    <t>Comisiones de trading acumuladas ($)</t>
  </si>
  <si>
    <t>Fricción total acumulada ($)</t>
  </si>
  <si>
    <t>Dividendos netos recibidos ($)</t>
  </si>
  <si>
    <t>Efectivo disponible en broker ($)</t>
  </si>
  <si>
    <t>Valor actual de posiciones ($)</t>
  </si>
  <si>
    <t>Valor actual de referidos incluido arriba ($)</t>
  </si>
  <si>
    <t>Valor total del portafolio ($)</t>
  </si>
  <si>
    <t>G/P no realizada de compras ($)</t>
  </si>
  <si>
    <t>Variación de referidos desde entrega ($)</t>
  </si>
  <si>
    <t>Resultado total vs bolsillo ($)</t>
  </si>
  <si>
    <t>Rentabilidad total vs bolsillo (%)</t>
  </si>
  <si>
    <t>LECTURA RÁPIDA</t>
  </si>
  <si>
    <t>Patrimonio actual menos todo el dinero que salió de tu bolsillo.</t>
  </si>
  <si>
    <t>Movimiento de mercado sobre las unidades compradas que siguen en cartera.</t>
  </si>
  <si>
    <t>Efectivo disponible</t>
  </si>
  <si>
    <t>Neto recibido + flujos de compras/ventas + dividendos netos.</t>
  </si>
  <si>
    <t>Cantidad y valor recibido son históricos; precio y valor actual cambian con el mercado. No aumenta tus aportes.</t>
  </si>
  <si>
    <t>CONTROL DE PRECIOS</t>
  </si>
  <si>
    <t>Última fecha registrada</t>
  </si>
  <si>
    <t>Advertencia</t>
  </si>
  <si>
    <t>La valoración utiliza el último precio registrado por ticker; si está desactualizado, el valor del portafolio también lo estará.</t>
  </si>
  <si>
    <t>CATÁLOGO DE ACTIVOS</t>
  </si>
  <si>
    <t>Registra cada activo una sola vez. Tipo, moneda y objetivo se reutilizan en el resto del libro.</t>
  </si>
  <si>
    <t>Ticker</t>
  </si>
  <si>
    <t>Nombre</t>
  </si>
  <si>
    <t>Tipo</t>
  </si>
  <si>
    <t>Moneda</t>
  </si>
  <si>
    <t>Objetivo %</t>
  </si>
  <si>
    <t>Activo?</t>
  </si>
  <si>
    <t>IVV</t>
  </si>
  <si>
    <t>iShares Core S&amp;P 500 ETF</t>
  </si>
  <si>
    <t>ETF</t>
  </si>
  <si>
    <t>USD</t>
  </si>
  <si>
    <t>SI</t>
  </si>
  <si>
    <t>Base principal</t>
  </si>
  <si>
    <t>VXUS</t>
  </si>
  <si>
    <t>Vanguard Total International Stock ETF</t>
  </si>
  <si>
    <t>Diversificación internacional</t>
  </si>
  <si>
    <t>BTC</t>
  </si>
  <si>
    <t>Bitcoin</t>
  </si>
  <si>
    <t>CRIPTO</t>
  </si>
  <si>
    <t>Criptoactivo</t>
  </si>
  <si>
    <t>APORTES DE DINERO</t>
  </si>
  <si>
    <t>Una fila = una entrada de dinero desde tu bolsillo. El costo se calcula como aporte real menos neto recibido.</t>
  </si>
  <si>
    <t>Fecha</t>
  </si>
  <si>
    <t>Aporte real ($)</t>
  </si>
  <si>
    <t>Neto broker ($)</t>
  </si>
  <si>
    <t>Costo fondeo ($)</t>
  </si>
  <si>
    <t>Método / ruta</t>
  </si>
  <si>
    <t>Binance USDT → ERC20 → Hapi</t>
  </si>
  <si>
    <t>Primer aporte</t>
  </si>
  <si>
    <t>Segundo aporte</t>
  </si>
  <si>
    <t>Tercer aporte</t>
  </si>
  <si>
    <t>TRANSACCIONES DE ACTIVOS</t>
  </si>
  <si>
    <t>Una fila = una compra o venta. El tipo se obtiene de Activos. Monto operación = importe real del broker antes de comisión.</t>
  </si>
  <si>
    <t>Activo</t>
  </si>
  <si>
    <t>Tipo activo</t>
  </si>
  <si>
    <t>Precio ejecución ($)</t>
  </si>
  <si>
    <t>Monto operación ($)</t>
  </si>
  <si>
    <t>Comisión ($)</t>
  </si>
  <si>
    <t>Efectivo neto ($)</t>
  </si>
  <si>
    <t>Primera compra IVV</t>
  </si>
  <si>
    <t>Segunda compra IVV</t>
  </si>
  <si>
    <t>Primera compra VXUS</t>
  </si>
  <si>
    <t>Compra bit Coin</t>
  </si>
  <si>
    <t>Compra IVV</t>
  </si>
  <si>
    <t>Compra VXUS</t>
  </si>
  <si>
    <t>Compra BTC</t>
  </si>
  <si>
    <t>REFERIDOS / PROMOCIONES</t>
  </si>
  <si>
    <t>Una fila = un activo recibido sin dinero de tu bolsillo. La cantidad y el valor recibido son históricos; el precio y valor actuales cambian con el mercado.</t>
  </si>
  <si>
    <t>Origen / tipo</t>
  </si>
  <si>
    <t>Precio al recibir ($)</t>
  </si>
  <si>
    <t>Valor recibido ($)</t>
  </si>
  <si>
    <t>Precio actual ($)</t>
  </si>
  <si>
    <t>Valor actual ($)</t>
  </si>
  <si>
    <t>Variación desde entrega ($)</t>
  </si>
  <si>
    <t>Rendimiento desde entrega (%)</t>
  </si>
  <si>
    <t>Costo desde bolsillo ($)</t>
  </si>
  <si>
    <t>Referido</t>
  </si>
  <si>
    <t>Premio Hapi por referido: $1.00 en BTC (13 oct 2026)</t>
  </si>
  <si>
    <t>DIVIDENDOS / DISTRIBUCIONES</t>
  </si>
  <si>
    <t>El neto recibido aumenta efectivo. Si reinviertes, registra además una COMPRA en Transacciones; no se descuenta dos veces.</t>
  </si>
  <si>
    <t>Dividendo bruto ($)</t>
  </si>
  <si>
    <t>Retención / impuestos ($)</t>
  </si>
  <si>
    <t>Otros cargos ($)</t>
  </si>
  <si>
    <t>Neto recibido ($)</t>
  </si>
  <si>
    <t>Reinvertido?</t>
  </si>
  <si>
    <t>Fuente / comprobante</t>
  </si>
  <si>
    <t>HISTÓRICO DE PRECIOS</t>
  </si>
  <si>
    <t>No reemplaces precios anteriores. Agrega una fila nueva por activo y fecha; Posiciones usa la última fila registrada para cada ticker.</t>
  </si>
  <si>
    <t>Precio ($)</t>
  </si>
  <si>
    <t>Fuente</t>
  </si>
  <si>
    <t>Hapi</t>
  </si>
  <si>
    <t>Precio mostrado por Hapi en la última captura</t>
  </si>
  <si>
    <t>POSICIONES POR ACTIVO</t>
  </si>
  <si>
    <t xml:space="preserve">Vista calculada. No edites cantidades ni costos. Cantidad actual = compras - ventas + referidos. Precio = último registro histórico. </t>
  </si>
  <si>
    <t>Comprado</t>
  </si>
  <si>
    <t>Vendido</t>
  </si>
  <si>
    <t>Monto compras ($)</t>
  </si>
  <si>
    <t>Comisiones compras ($)</t>
  </si>
  <si>
    <t>Neto ventas ($)</t>
  </si>
  <si>
    <t>Costo total compras ($)</t>
  </si>
  <si>
    <t>Costo promedio compra ($)</t>
  </si>
  <si>
    <t>Fecha último precio</t>
  </si>
  <si>
    <t>Valor actual posición ($)</t>
  </si>
  <si>
    <t>Costo base actual estimado ($)</t>
  </si>
  <si>
    <t>G/P no realizada compras ($)</t>
  </si>
  <si>
    <t>Resultado patrimonial vs bolsillo ($)</t>
  </si>
  <si>
    <t>Rentabilidad no realizada</t>
  </si>
  <si>
    <t>Objetivo</t>
  </si>
  <si>
    <t>HISTÓRICO DE RENDIMIENTO / SNAPSHOTS</t>
  </si>
  <si>
    <t>Cada fila conserva una fotografía histórica. Copia valores actuales y pégalos como valores; no enlaces el histórico a precios futuros.</t>
  </si>
  <si>
    <t>Aporte bolsillo acumulado ($)</t>
  </si>
  <si>
    <t>Neto broker acumulado ($)</t>
  </si>
  <si>
    <t>Costos fondeo ($)</t>
  </si>
  <si>
    <t>Comisiones acumuladas ($)</t>
  </si>
  <si>
    <t>Efectivo ($)</t>
  </si>
  <si>
    <t>Valor posiciones ($)</t>
  </si>
  <si>
    <t>Valor referidos ($)</t>
  </si>
  <si>
    <t>Valor total ($)</t>
  </si>
  <si>
    <t>Resultado vs bolsillo ($)</t>
  </si>
  <si>
    <t>Rentabilidad vs bolsillo (%)</t>
  </si>
  <si>
    <t>Migrado desde 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</si>
</sst>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.00;[Red]\(\$#,##0.00\);\-"/>
    <numFmt numFmtId="165" formatCode="0.0%;[Red]\(0.0%\);\-"/>
    <numFmt numFmtId="166" formatCode="dd/mm/yyyy"/>
    <numFmt numFmtId="167" formatCode="0.00000000;[Red]\(0.00000000\);\-"/>
    <numFmt numFmtId="168" formatCode="\$#,##0.000000;[Red]\(\$#,##0.000000\);\-"/>
    <numFmt numFmtId="169" formatCode="0.00000000"/>
    <numFmt numFmtId="170" formatCode="0.00%;[Red]\(0.00%\);\-"/>
  </numFmts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sz val="10"/>
      <color rgb="FF0000FF"/>
      <name val="Calibri"/>
    </font>
    <font>
      <sz val="10"/>
      <color rgb="FF000000"/>
      <name val="Calibri"/>
    </font>
    <font>
      <sz val="10"/>
      <color rgb="FF008000"/>
      <name val="Calibri"/>
    </font>
    <font>
      <b/>
      <sz val="11"/>
      <color rgb="FF000000"/>
      <name val="Calibri"/>
    </font>
    <font>
      <b/>
      <sz val="11"/>
      <color rgb="FF008000"/>
      <name val="Calibri"/>
    </font>
    <font>
      <sz val="10"/>
      <color rgb="FF0000FF"/>
      <name val="Calibri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7" fillId="4" borderId="0" xfId="0" applyFont="1" applyFill="1"/>
    <xf numFmtId="0" fontId="3" fillId="2" borderId="0" xfId="0" applyFont="1" applyFill="1"/>
    <xf numFmtId="0" fontId="0" fillId="2" borderId="0" xfId="0" applyFill="1"/>
    <xf numFmtId="166" fontId="6" fillId="0" borderId="0" xfId="0" applyNumberFormat="1" applyFont="1"/>
    <xf numFmtId="0" fontId="4" fillId="0" borderId="0" xfId="0" applyFont="1"/>
    <xf numFmtId="166" fontId="4" fillId="0" borderId="0" xfId="0" applyNumberFormat="1" applyFont="1"/>
    <xf numFmtId="0" fontId="6" fillId="0" borderId="0" xfId="0" applyFont="1"/>
    <xf numFmtId="0" fontId="5" fillId="0" borderId="0" xfId="0" applyFont="1"/>
    <xf numFmtId="0" fontId="0" fillId="0" borderId="0" xfId="0"/>
    <xf numFmtId="164" fontId="6" fillId="0" borderId="0" xfId="0" applyNumberFormat="1" applyFont="1"/>
    <xf numFmtId="164" fontId="8" fillId="4" borderId="0" xfId="0" applyNumberFormat="1" applyFont="1" applyFill="1"/>
    <xf numFmtId="165" fontId="8" fillId="4" borderId="0" xfId="0" applyNumberFormat="1" applyFont="1" applyFill="1"/>
    <xf numFmtId="165" fontId="4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7" fontId="4" fillId="0" borderId="0" xfId="0" applyNumberFormat="1" applyFont="1"/>
    <xf numFmtId="168" fontId="4" fillId="0" borderId="0" xfId="0" applyNumberFormat="1" applyFont="1"/>
    <xf numFmtId="167" fontId="4" fillId="0" borderId="0" xfId="0" applyNumberFormat="1" applyFont="1" applyAlignment="1">
      <alignment wrapText="1"/>
    </xf>
    <xf numFmtId="166" fontId="9" fillId="0" borderId="0" xfId="0" applyNumberFormat="1" applyFont="1"/>
    <xf numFmtId="0" fontId="9" fillId="0" borderId="0" xfId="0" applyFont="1"/>
    <xf numFmtId="169" fontId="9" fillId="0" borderId="0" xfId="0" applyNumberFormat="1" applyFont="1"/>
    <xf numFmtId="164" fontId="9" fillId="0" borderId="0" xfId="0" applyNumberFormat="1" applyFont="1"/>
    <xf numFmtId="164" fontId="10" fillId="0" borderId="0" xfId="0" applyNumberFormat="1" applyFont="1"/>
    <xf numFmtId="170" fontId="10" fillId="0" borderId="0" xfId="0" applyNumberFormat="1" applyFont="1"/>
    <xf numFmtId="167" fontId="5" fillId="0" borderId="0" xfId="0" applyNumberFormat="1" applyFont="1"/>
    <xf numFmtId="165" fontId="5" fillId="0" borderId="0" xfId="0" applyNumberFormat="1" applyFont="1"/>
    <xf numFmtId="165" fontId="6" fillId="0" borderId="0" xfId="0" applyNumberFormat="1" applyFont="1"/>
    <xf numFmtId="0" fontId="2" fillId="3" borderId="0" xfId="0" applyFont="1" applyFill="1" applyAlignment="1">
      <alignment vertical="center" wrapText="1"/>
    </xf>
    <xf numFmtId="0" fontId="0" fillId="0" borderId="0" xfId="0"/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2"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C"/>
              <a:t>Aportado vs valor total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Rendimiento!$B$4</c:f>
              <c:strCache>
                <c:ptCount val="1"/>
                <c:pt idx="0">
                  <c:v>Aporte bolsillo acumulado ($)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Rendimiento!$A$5:$A$30</c:f>
              <c:numCache>
                <c:formatCode>dd/mm/yyyy</c:formatCode>
                <c:ptCount val="26"/>
                <c:pt idx="0">
                  <c:v>46314</c:v>
                </c:pt>
              </c:numCache>
            </c:numRef>
          </c:cat>
          <c:val>
            <c:numRef>
              <c:f>Rendimiento!$B$5:$B$30</c:f>
              <c:numCache>
                <c:formatCode>\$#,##0.00;[Red]\(\$#,##0.00\);\-</c:formatCode>
                <c:ptCount val="26"/>
                <c:pt idx="0">
                  <c:v>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40E-41D8-897F-AE2D08D397E4}"/>
            </c:ext>
          </c:extLst>
        </c:ser>
        <c:ser>
          <c:idx val="1"/>
          <c:order val="1"/>
          <c:tx>
            <c:strRef>
              <c:f>Rendimiento!$I$4</c:f>
              <c:strCache>
                <c:ptCount val="1"/>
                <c:pt idx="0">
                  <c:v>Valor total ($)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Rendimiento!$A$5:$A$30</c:f>
              <c:numCache>
                <c:formatCode>dd/mm/yyyy</c:formatCode>
                <c:ptCount val="26"/>
                <c:pt idx="0">
                  <c:v>46314</c:v>
                </c:pt>
              </c:numCache>
            </c:numRef>
          </c:cat>
          <c:val>
            <c:numRef>
              <c:f>Rendimiento!$I$5:$I$30</c:f>
              <c:numCache>
                <c:formatCode>\$#,##0.00;[Red]\(\$#,##0.00\);\-</c:formatCode>
                <c:ptCount val="26"/>
                <c:pt idx="0">
                  <c:v>362.30391024900001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40E-41D8-897F-AE2D08D39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C"/>
                  <a:t>Fecha</a:t>
                </a:r>
              </a:p>
            </c:rich>
          </c:tx>
          <c:overlay val="1"/>
        </c:title>
        <c:numFmt formatCode="dd/mm/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C"/>
                  <a:t>USD</a:t>
                </a:r>
              </a:p>
            </c:rich>
          </c:tx>
          <c:overlay val="1"/>
        </c:title>
        <c:numFmt formatCode="\$#,##0.00;[Red]\(\$#,##0.0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3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showGridLines="0" workbookViewId="0">
      <pane ySplit="4" topLeftCell="A5" activePane="bottomLeft" state="frozen"/>
      <selection pane="bottomLeft" activeCell="E10" sqref="E10"/>
    </sheetView>
  </sheetViews>
  <sheetFormatPr baseColWidth="10" defaultColWidth="8.88671875" defaultRowHeight="14.4" x14ac:dyDescent="0.3"/>
  <cols>
    <col min="1" max="1" width="25" style="12" customWidth="1"/>
    <col min="2" max="2" width="30" style="12" customWidth="1"/>
    <col min="3" max="3" width="46" style="12" customWidth="1"/>
    <col min="4" max="4" width="27" style="12" customWidth="1"/>
    <col min="5" max="5" width="16" style="12" customWidth="1"/>
    <col min="6" max="6" width="42" style="12" customWidth="1"/>
  </cols>
  <sheetData>
    <row r="1" spans="1:6" ht="25.05" customHeight="1" x14ac:dyDescent="0.3">
      <c r="A1" s="34" t="s">
        <v>0</v>
      </c>
      <c r="B1" s="32"/>
      <c r="C1" s="32"/>
      <c r="D1" s="32"/>
      <c r="E1" s="32"/>
      <c r="F1" s="32"/>
    </row>
    <row r="2" spans="1:6" ht="34.049999999999997" customHeight="1" x14ac:dyDescent="0.3">
      <c r="A2" s="31" t="s">
        <v>1</v>
      </c>
      <c r="B2" s="32"/>
      <c r="C2" s="32"/>
      <c r="D2" s="32"/>
      <c r="E2" s="32"/>
      <c r="F2" s="32"/>
    </row>
    <row r="3" spans="1:6" ht="22.05" customHeight="1" x14ac:dyDescent="0.3"/>
    <row r="4" spans="1:6" ht="34.049999999999997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22.05" customHeight="1" x14ac:dyDescent="0.3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</row>
    <row r="6" spans="1:6" ht="22.05" customHeight="1" x14ac:dyDescent="0.3">
      <c r="A6" s="2" t="s">
        <v>14</v>
      </c>
      <c r="B6" s="2" t="s">
        <v>15</v>
      </c>
      <c r="C6" s="2" t="s">
        <v>16</v>
      </c>
      <c r="D6" s="2" t="s">
        <v>17</v>
      </c>
      <c r="E6" s="2" t="s">
        <v>12</v>
      </c>
      <c r="F6" s="2" t="s">
        <v>18</v>
      </c>
    </row>
    <row r="7" spans="1:6" ht="22.05" customHeight="1" x14ac:dyDescent="0.3">
      <c r="A7" s="2" t="s">
        <v>19</v>
      </c>
      <c r="B7" s="2" t="s">
        <v>20</v>
      </c>
      <c r="C7" s="2" t="s">
        <v>21</v>
      </c>
      <c r="D7" s="2" t="s">
        <v>22</v>
      </c>
      <c r="E7" s="2" t="s">
        <v>12</v>
      </c>
      <c r="F7" s="2" t="s">
        <v>23</v>
      </c>
    </row>
    <row r="8" spans="1:6" ht="22.05" customHeight="1" x14ac:dyDescent="0.3">
      <c r="A8" s="2" t="s">
        <v>24</v>
      </c>
      <c r="B8" s="2" t="s">
        <v>25</v>
      </c>
      <c r="C8" s="2" t="s">
        <v>26</v>
      </c>
      <c r="D8" s="2" t="s">
        <v>27</v>
      </c>
      <c r="E8" s="2" t="s">
        <v>12</v>
      </c>
      <c r="F8" s="2" t="s">
        <v>28</v>
      </c>
    </row>
    <row r="9" spans="1:6" ht="22.05" customHeight="1" x14ac:dyDescent="0.3">
      <c r="A9" s="2" t="s">
        <v>29</v>
      </c>
      <c r="B9" s="2" t="s">
        <v>30</v>
      </c>
      <c r="C9" s="2" t="s">
        <v>31</v>
      </c>
      <c r="D9" s="2" t="s">
        <v>32</v>
      </c>
      <c r="E9" s="2" t="s">
        <v>12</v>
      </c>
      <c r="F9" s="2" t="s">
        <v>33</v>
      </c>
    </row>
    <row r="10" spans="1:6" ht="22.05" customHeight="1" x14ac:dyDescent="0.3">
      <c r="A10" s="2" t="s">
        <v>34</v>
      </c>
      <c r="B10" s="2" t="s">
        <v>35</v>
      </c>
      <c r="C10" s="2" t="s">
        <v>36</v>
      </c>
      <c r="D10" s="2" t="s">
        <v>37</v>
      </c>
      <c r="E10" s="2" t="s">
        <v>12</v>
      </c>
      <c r="F10" s="2" t="s">
        <v>38</v>
      </c>
    </row>
    <row r="11" spans="1:6" ht="22.05" customHeight="1" x14ac:dyDescent="0.3">
      <c r="A11" s="2" t="s">
        <v>39</v>
      </c>
      <c r="B11" s="2" t="s">
        <v>40</v>
      </c>
      <c r="C11" s="2" t="s">
        <v>41</v>
      </c>
      <c r="D11" s="2" t="s">
        <v>42</v>
      </c>
      <c r="E11" s="2" t="s">
        <v>43</v>
      </c>
      <c r="F11" s="2" t="s">
        <v>44</v>
      </c>
    </row>
    <row r="12" spans="1:6" ht="22.05" customHeight="1" x14ac:dyDescent="0.3">
      <c r="A12" s="2" t="s">
        <v>45</v>
      </c>
      <c r="B12" s="2" t="s">
        <v>46</v>
      </c>
      <c r="C12" s="2" t="s">
        <v>47</v>
      </c>
      <c r="D12" s="2" t="s">
        <v>48</v>
      </c>
      <c r="E12" s="2" t="s">
        <v>43</v>
      </c>
      <c r="F12" s="2" t="s">
        <v>44</v>
      </c>
    </row>
    <row r="13" spans="1:6" ht="22.05" customHeight="1" x14ac:dyDescent="0.3">
      <c r="A13" s="2" t="s">
        <v>49</v>
      </c>
      <c r="B13" s="2" t="s">
        <v>50</v>
      </c>
      <c r="C13" s="2" t="s">
        <v>51</v>
      </c>
      <c r="D13" s="2" t="s">
        <v>52</v>
      </c>
      <c r="E13" s="2" t="s">
        <v>53</v>
      </c>
      <c r="F13" s="2" t="s">
        <v>54</v>
      </c>
    </row>
    <row r="14" spans="1:6" ht="22.05" customHeight="1" x14ac:dyDescent="0.3"/>
    <row r="15" spans="1:6" ht="22.05" customHeight="1" x14ac:dyDescent="0.3">
      <c r="A15" s="33" t="s">
        <v>55</v>
      </c>
      <c r="B15" s="32"/>
      <c r="C15" s="32"/>
      <c r="D15" s="32"/>
      <c r="E15" s="32"/>
      <c r="F15" s="32"/>
    </row>
    <row r="16" spans="1:6" ht="22.05" customHeight="1" x14ac:dyDescent="0.3">
      <c r="A16" s="3" t="s">
        <v>56</v>
      </c>
      <c r="B16" s="3" t="s">
        <v>57</v>
      </c>
      <c r="C16" s="3" t="s">
        <v>58</v>
      </c>
      <c r="D16" s="3"/>
      <c r="E16" s="3"/>
      <c r="F16" s="3"/>
    </row>
    <row r="17" spans="1:6" ht="22.05" customHeight="1" x14ac:dyDescent="0.3">
      <c r="A17" s="3" t="s">
        <v>59</v>
      </c>
      <c r="B17" s="3" t="s">
        <v>60</v>
      </c>
      <c r="C17" s="3" t="s">
        <v>61</v>
      </c>
      <c r="D17" s="3"/>
      <c r="E17" s="3"/>
      <c r="F17" s="3"/>
    </row>
    <row r="18" spans="1:6" ht="22.05" customHeight="1" x14ac:dyDescent="0.3">
      <c r="A18" s="3" t="s">
        <v>62</v>
      </c>
      <c r="B18" s="3" t="s">
        <v>63</v>
      </c>
      <c r="C18" s="3" t="s">
        <v>64</v>
      </c>
      <c r="D18" s="3"/>
      <c r="E18" s="3"/>
      <c r="F18" s="3"/>
    </row>
    <row r="19" spans="1:6" ht="22.05" customHeight="1" x14ac:dyDescent="0.3"/>
    <row r="20" spans="1:6" ht="22.05" customHeight="1" x14ac:dyDescent="0.3">
      <c r="A20" s="33" t="s">
        <v>65</v>
      </c>
      <c r="B20" s="32"/>
      <c r="C20" s="32"/>
      <c r="D20" s="32"/>
      <c r="E20" s="32"/>
      <c r="F20" s="32"/>
    </row>
    <row r="21" spans="1:6" ht="22.05" customHeight="1" x14ac:dyDescent="0.3">
      <c r="A21" s="3" t="s">
        <v>66</v>
      </c>
      <c r="B21" s="3" t="s">
        <v>67</v>
      </c>
      <c r="C21" s="3" t="s">
        <v>68</v>
      </c>
      <c r="D21" s="3"/>
      <c r="E21" s="3"/>
      <c r="F21" s="3"/>
    </row>
    <row r="22" spans="1:6" ht="22.05" customHeight="1" x14ac:dyDescent="0.3">
      <c r="A22" s="3" t="s">
        <v>69</v>
      </c>
      <c r="B22" s="3" t="s">
        <v>70</v>
      </c>
      <c r="C22" s="3" t="s">
        <v>71</v>
      </c>
      <c r="D22" s="3"/>
      <c r="E22" s="3"/>
      <c r="F22" s="3"/>
    </row>
    <row r="23" spans="1:6" ht="22.05" customHeight="1" x14ac:dyDescent="0.3">
      <c r="A23" s="3" t="s">
        <v>72</v>
      </c>
      <c r="B23" s="3" t="s">
        <v>73</v>
      </c>
      <c r="C23" s="3" t="s">
        <v>74</v>
      </c>
      <c r="D23" s="3"/>
      <c r="E23" s="3"/>
      <c r="F23" s="3"/>
    </row>
    <row r="24" spans="1:6" ht="22.05" customHeight="1" x14ac:dyDescent="0.3">
      <c r="A24" s="3" t="s">
        <v>75</v>
      </c>
      <c r="B24" s="3" t="s">
        <v>76</v>
      </c>
      <c r="C24" s="3" t="s">
        <v>77</v>
      </c>
      <c r="D24" s="3"/>
      <c r="E24" s="3"/>
      <c r="F24" s="3"/>
    </row>
    <row r="25" spans="1:6" ht="22.05" customHeight="1" x14ac:dyDescent="0.3">
      <c r="A25" s="3" t="s">
        <v>78</v>
      </c>
      <c r="B25" s="3" t="s">
        <v>79</v>
      </c>
      <c r="C25" s="3" t="s">
        <v>80</v>
      </c>
      <c r="D25" s="3"/>
      <c r="E25" s="3"/>
      <c r="F25" s="3"/>
    </row>
    <row r="26" spans="1:6" ht="22.05" customHeight="1" x14ac:dyDescent="0.3">
      <c r="A26" s="3" t="s">
        <v>81</v>
      </c>
      <c r="B26" s="3" t="s">
        <v>82</v>
      </c>
      <c r="C26" s="3" t="s">
        <v>83</v>
      </c>
      <c r="D26" s="3"/>
      <c r="E26" s="3"/>
      <c r="F26" s="3"/>
    </row>
    <row r="27" spans="1:6" ht="22.05" customHeight="1" x14ac:dyDescent="0.3"/>
    <row r="28" spans="1:6" ht="22.05" customHeight="1" x14ac:dyDescent="0.3">
      <c r="A28" s="33" t="s">
        <v>84</v>
      </c>
      <c r="B28" s="32"/>
      <c r="C28" s="32"/>
      <c r="D28" s="32"/>
      <c r="E28" s="32"/>
      <c r="F28" s="32"/>
    </row>
    <row r="29" spans="1:6" ht="22.05" customHeight="1" x14ac:dyDescent="0.3">
      <c r="A29" s="3" t="s">
        <v>85</v>
      </c>
      <c r="B29" s="3" t="s">
        <v>42</v>
      </c>
      <c r="C29" s="3"/>
      <c r="D29" s="3"/>
      <c r="E29" s="3"/>
      <c r="F29" s="3"/>
    </row>
    <row r="30" spans="1:6" ht="22.05" customHeight="1" x14ac:dyDescent="0.3">
      <c r="A30" s="3" t="s">
        <v>86</v>
      </c>
      <c r="B30" s="3" t="s">
        <v>87</v>
      </c>
      <c r="C30" s="3"/>
      <c r="D30" s="3"/>
      <c r="E30" s="3"/>
      <c r="F30" s="3"/>
    </row>
    <row r="31" spans="1:6" ht="22.05" customHeight="1" x14ac:dyDescent="0.3">
      <c r="A31" s="3" t="s">
        <v>88</v>
      </c>
      <c r="B31" s="3" t="s">
        <v>89</v>
      </c>
      <c r="C31" s="3"/>
      <c r="D31" s="3"/>
      <c r="E31" s="3"/>
      <c r="F31" s="3"/>
    </row>
    <row r="32" spans="1:6" ht="22.05" customHeight="1" x14ac:dyDescent="0.3">
      <c r="A32" s="3" t="s">
        <v>90</v>
      </c>
      <c r="B32" s="3" t="s">
        <v>91</v>
      </c>
      <c r="C32" s="3"/>
      <c r="D32" s="3"/>
      <c r="E32" s="3"/>
      <c r="F32" s="3"/>
    </row>
    <row r="33" spans="1:6" ht="22.05" customHeight="1" x14ac:dyDescent="0.3">
      <c r="A33" s="3" t="s">
        <v>92</v>
      </c>
      <c r="B33" s="3" t="s">
        <v>93</v>
      </c>
      <c r="C33" s="3"/>
      <c r="D33" s="3"/>
      <c r="E33" s="3"/>
      <c r="F33" s="3"/>
    </row>
    <row r="34" spans="1:6" ht="22.05" customHeight="1" x14ac:dyDescent="0.3">
      <c r="A34" s="3" t="s">
        <v>94</v>
      </c>
      <c r="B34" s="3" t="s">
        <v>95</v>
      </c>
      <c r="C34" s="3"/>
      <c r="D34" s="3"/>
      <c r="E34" s="3"/>
      <c r="F34" s="3"/>
    </row>
    <row r="35" spans="1:6" ht="22.05" customHeight="1" x14ac:dyDescent="0.3">
      <c r="A35" s="3" t="s">
        <v>96</v>
      </c>
      <c r="B35" s="3" t="s">
        <v>97</v>
      </c>
      <c r="C35" s="3"/>
      <c r="D35" s="3"/>
      <c r="E35" s="3"/>
      <c r="F35" s="3"/>
    </row>
    <row r="36" spans="1:6" ht="22.05" customHeight="1" x14ac:dyDescent="0.3"/>
    <row r="37" spans="1:6" ht="22.05" customHeight="1" x14ac:dyDescent="0.3">
      <c r="A37" s="33" t="s">
        <v>98</v>
      </c>
      <c r="B37" s="32"/>
      <c r="C37" s="32"/>
      <c r="D37" s="32"/>
      <c r="E37" s="32"/>
      <c r="F37" s="32"/>
    </row>
    <row r="38" spans="1:6" ht="22.05" customHeight="1" x14ac:dyDescent="0.3">
      <c r="A38" s="3" t="s">
        <v>99</v>
      </c>
      <c r="B38" s="3" t="s">
        <v>100</v>
      </c>
      <c r="C38" s="3"/>
      <c r="D38" s="3"/>
      <c r="E38" s="3"/>
      <c r="F38" s="3"/>
    </row>
    <row r="39" spans="1:6" ht="22.05" customHeight="1" x14ac:dyDescent="0.3">
      <c r="A39" s="3" t="s">
        <v>59</v>
      </c>
      <c r="B39" s="3" t="s">
        <v>101</v>
      </c>
      <c r="C39" s="3"/>
      <c r="D39" s="3"/>
      <c r="E39" s="3"/>
      <c r="F39" s="3"/>
    </row>
    <row r="40" spans="1:6" ht="22.05" customHeight="1" x14ac:dyDescent="0.3">
      <c r="A40" s="3" t="s">
        <v>102</v>
      </c>
      <c r="B40" s="3" t="s">
        <v>103</v>
      </c>
      <c r="C40" s="3"/>
      <c r="D40" s="3"/>
      <c r="E40" s="3"/>
      <c r="F40" s="3"/>
    </row>
    <row r="41" spans="1:6" ht="22.05" customHeight="1" x14ac:dyDescent="0.3">
      <c r="A41" s="3" t="s">
        <v>104</v>
      </c>
      <c r="B41" s="3" t="s">
        <v>105</v>
      </c>
      <c r="C41" s="3"/>
      <c r="D41" s="3"/>
      <c r="E41" s="3"/>
      <c r="F41" s="3"/>
    </row>
    <row r="42" spans="1:6" ht="22.05" customHeight="1" x14ac:dyDescent="0.3">
      <c r="A42" s="3" t="s">
        <v>106</v>
      </c>
      <c r="B42" s="3" t="s">
        <v>107</v>
      </c>
      <c r="C42" s="3"/>
      <c r="D42" s="3"/>
      <c r="E42" s="3"/>
      <c r="F42" s="3"/>
    </row>
    <row r="43" spans="1:6" ht="22.05" customHeight="1" x14ac:dyDescent="0.3">
      <c r="A43" s="3" t="s">
        <v>108</v>
      </c>
      <c r="B43" s="3" t="s">
        <v>109</v>
      </c>
      <c r="C43" s="3"/>
      <c r="D43" s="3"/>
      <c r="E43" s="3"/>
      <c r="F43" s="3"/>
    </row>
    <row r="44" spans="1:6" ht="22.05" customHeight="1" x14ac:dyDescent="0.3">
      <c r="A44" s="3" t="s">
        <v>48</v>
      </c>
      <c r="B44" s="3" t="s">
        <v>110</v>
      </c>
      <c r="C44" s="3"/>
      <c r="D44" s="3"/>
      <c r="E44" s="3"/>
      <c r="F44" s="3"/>
    </row>
    <row r="45" spans="1:6" ht="22.05" customHeight="1" x14ac:dyDescent="0.3">
      <c r="A45" s="3" t="s">
        <v>111</v>
      </c>
      <c r="B45" s="3" t="s">
        <v>112</v>
      </c>
      <c r="C45" s="3"/>
      <c r="D45" s="3"/>
      <c r="E45" s="3"/>
      <c r="F45" s="3"/>
    </row>
    <row r="46" spans="1:6" ht="22.05" customHeight="1" x14ac:dyDescent="0.3"/>
    <row r="47" spans="1:6" ht="22.05" customHeight="1" x14ac:dyDescent="0.3">
      <c r="A47" s="33" t="s">
        <v>113</v>
      </c>
      <c r="B47" s="32"/>
      <c r="C47" s="32"/>
      <c r="D47" s="32"/>
      <c r="E47" s="32"/>
      <c r="F47" s="32"/>
    </row>
    <row r="48" spans="1:6" ht="22.05" customHeight="1" x14ac:dyDescent="0.3">
      <c r="A48" t="s">
        <v>114</v>
      </c>
      <c r="B48" s="3" t="s">
        <v>115</v>
      </c>
    </row>
    <row r="49" spans="1:6" ht="22.05" customHeight="1" x14ac:dyDescent="0.3">
      <c r="A49" t="s">
        <v>116</v>
      </c>
      <c r="B49" s="3" t="s">
        <v>117</v>
      </c>
    </row>
    <row r="50" spans="1:6" ht="22.05" customHeight="1" x14ac:dyDescent="0.3"/>
    <row r="51" spans="1:6" ht="22.05" customHeight="1" x14ac:dyDescent="0.3">
      <c r="A51" s="33" t="s">
        <v>118</v>
      </c>
      <c r="B51" s="32"/>
      <c r="C51" s="32"/>
      <c r="D51" s="32"/>
      <c r="E51" s="32"/>
      <c r="F51" s="32"/>
    </row>
    <row r="52" spans="1:6" ht="22.05" customHeight="1" x14ac:dyDescent="0.3">
      <c r="A52" t="s">
        <v>119</v>
      </c>
      <c r="B52" t="s">
        <v>120</v>
      </c>
    </row>
    <row r="53" spans="1:6" ht="22.05" customHeight="1" x14ac:dyDescent="0.3">
      <c r="A53" t="s">
        <v>121</v>
      </c>
      <c r="B53" t="s">
        <v>122</v>
      </c>
    </row>
    <row r="54" spans="1:6" ht="22.05" customHeight="1" x14ac:dyDescent="0.3">
      <c r="A54" t="s">
        <v>123</v>
      </c>
      <c r="B54" t="s">
        <v>124</v>
      </c>
    </row>
    <row r="55" spans="1:6" ht="22.05" customHeight="1" x14ac:dyDescent="0.3"/>
    <row r="56" spans="1:6" ht="22.05" customHeight="1" x14ac:dyDescent="0.3">
      <c r="A56" s="33" t="s">
        <v>125</v>
      </c>
      <c r="B56" s="32"/>
      <c r="C56" s="32"/>
      <c r="D56" s="32"/>
      <c r="E56" s="32"/>
      <c r="F56" s="32"/>
    </row>
    <row r="57" spans="1:6" ht="22.05" customHeight="1" x14ac:dyDescent="0.3">
      <c r="A57" t="s">
        <v>126</v>
      </c>
      <c r="B57" s="3" t="s">
        <v>127</v>
      </c>
    </row>
    <row r="58" spans="1:6" ht="22.05" customHeight="1" x14ac:dyDescent="0.3"/>
    <row r="59" spans="1:6" ht="22.05" customHeight="1" x14ac:dyDescent="0.3"/>
    <row r="60" spans="1:6" ht="22.05" customHeight="1" x14ac:dyDescent="0.3"/>
    <row r="61" spans="1:6" ht="22.05" customHeight="1" x14ac:dyDescent="0.3"/>
    <row r="62" spans="1:6" ht="22.05" customHeight="1" x14ac:dyDescent="0.3"/>
    <row r="63" spans="1:6" ht="22.05" customHeight="1" x14ac:dyDescent="0.3"/>
    <row r="64" spans="1:6" ht="22.05" customHeight="1" x14ac:dyDescent="0.3"/>
    <row r="65" ht="22.05" customHeight="1" x14ac:dyDescent="0.3"/>
    <row r="66" ht="22.05" customHeight="1" x14ac:dyDescent="0.3"/>
    <row r="67" ht="22.05" customHeight="1" x14ac:dyDescent="0.3"/>
    <row r="68" ht="22.05" customHeight="1" x14ac:dyDescent="0.3"/>
    <row r="69" ht="22.05" customHeight="1" x14ac:dyDescent="0.3"/>
    <row r="70" ht="22.05" customHeight="1" x14ac:dyDescent="0.3"/>
    <row r="71" ht="22.05" customHeight="1" x14ac:dyDescent="0.3"/>
    <row r="72" ht="22.05" customHeight="1" x14ac:dyDescent="0.3"/>
    <row r="73" ht="22.05" customHeight="1" x14ac:dyDescent="0.3"/>
    <row r="74" ht="22.05" customHeight="1" x14ac:dyDescent="0.3"/>
    <row r="75" ht="22.05" customHeight="1" x14ac:dyDescent="0.3"/>
    <row r="76" ht="22.05" customHeight="1" x14ac:dyDescent="0.3"/>
    <row r="77" ht="22.05" customHeight="1" x14ac:dyDescent="0.3"/>
    <row r="78" ht="22.05" customHeight="1" x14ac:dyDescent="0.3"/>
    <row r="79" ht="22.05" customHeight="1" x14ac:dyDescent="0.3"/>
    <row r="80" ht="22.05" customHeight="1" x14ac:dyDescent="0.3"/>
  </sheetData>
  <autoFilter ref="A4:F80" xr:uid="{00000000-0009-0000-0000-000000000000}"/>
  <mergeCells count="9">
    <mergeCell ref="A56:F56"/>
    <mergeCell ref="A20:F20"/>
    <mergeCell ref="A15:F15"/>
    <mergeCell ref="A2:F2"/>
    <mergeCell ref="A51:F51"/>
    <mergeCell ref="A47:F47"/>
    <mergeCell ref="A28:F28"/>
    <mergeCell ref="A1:F1"/>
    <mergeCell ref="A37:F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showGridLines="0" tabSelected="1" workbookViewId="0">
      <pane ySplit="3" topLeftCell="A17" activePane="bottomLeft" state="frozen"/>
      <selection pane="bottomLeft" activeCell="D22" sqref="D22"/>
    </sheetView>
  </sheetViews>
  <sheetFormatPr baseColWidth="10" defaultColWidth="8.88671875" defaultRowHeight="14.4" x14ac:dyDescent="0.3"/>
  <cols>
    <col min="1" max="1" width="46" style="12" customWidth="1"/>
    <col min="2" max="2" width="51.44140625" style="12" bestFit="1" customWidth="1"/>
  </cols>
  <sheetData>
    <row r="1" spans="1:2" ht="25.05" customHeight="1" x14ac:dyDescent="0.4">
      <c r="A1" s="36" t="s">
        <v>128</v>
      </c>
      <c r="B1" s="32"/>
    </row>
    <row r="2" spans="1:2" ht="34.049999999999997" customHeight="1" x14ac:dyDescent="0.3">
      <c r="A2" s="35" t="s">
        <v>129</v>
      </c>
      <c r="B2" s="32"/>
    </row>
    <row r="4" spans="1:2" x14ac:dyDescent="0.3">
      <c r="A4" t="s">
        <v>130</v>
      </c>
      <c r="B4" s="13">
        <f>SUM(Aportes!B5:B204)</f>
        <v>575</v>
      </c>
    </row>
    <row r="5" spans="1:2" x14ac:dyDescent="0.3">
      <c r="A5" t="s">
        <v>131</v>
      </c>
      <c r="B5" s="13">
        <f>SUM(Aportes!C5:C204)</f>
        <v>559.13</v>
      </c>
    </row>
    <row r="6" spans="1:2" x14ac:dyDescent="0.3">
      <c r="A6" t="s">
        <v>132</v>
      </c>
      <c r="B6" s="13">
        <f>SUM(Aportes!D5:D204)</f>
        <v>15.869999999999976</v>
      </c>
    </row>
    <row r="7" spans="1:2" x14ac:dyDescent="0.3">
      <c r="A7" t="s">
        <v>133</v>
      </c>
      <c r="B7" s="13">
        <f>SUMIFS(Transacciones!G5:G1004,Transacciones!D5:D1004,"COMPRA")</f>
        <v>503.07</v>
      </c>
    </row>
    <row r="8" spans="1:2" x14ac:dyDescent="0.3">
      <c r="A8" t="s">
        <v>134</v>
      </c>
      <c r="B8" s="13">
        <f>SUM(Transacciones!H5:H1004)</f>
        <v>1.02</v>
      </c>
    </row>
    <row r="9" spans="1:2" x14ac:dyDescent="0.3">
      <c r="A9" s="4" t="s">
        <v>135</v>
      </c>
      <c r="B9" s="14">
        <f>B6+B8</f>
        <v>16.889999999999976</v>
      </c>
    </row>
    <row r="10" spans="1:2" x14ac:dyDescent="0.3">
      <c r="A10" t="s">
        <v>136</v>
      </c>
      <c r="B10" s="13">
        <f>SUM(Dividendos!F5:F204)</f>
        <v>0</v>
      </c>
    </row>
    <row r="11" spans="1:2" x14ac:dyDescent="0.3">
      <c r="A11" t="s">
        <v>137</v>
      </c>
      <c r="B11" s="13">
        <f>B5+SUM(Transacciones!I5:I1004)+B10</f>
        <v>55.039999999999964</v>
      </c>
    </row>
    <row r="12" spans="1:2" x14ac:dyDescent="0.3">
      <c r="A12" t="s">
        <v>138</v>
      </c>
      <c r="B12" s="13">
        <f>SUM(Posiciones!N5:N104)</f>
        <v>502.77494811119999</v>
      </c>
    </row>
    <row r="13" spans="1:2" x14ac:dyDescent="0.3">
      <c r="A13" t="s">
        <v>139</v>
      </c>
      <c r="B13" s="13">
        <f>SUM(Referidos!H5:H204)</f>
        <v>0.98061152279999997</v>
      </c>
    </row>
    <row r="14" spans="1:2" x14ac:dyDescent="0.3">
      <c r="A14" s="4" t="s">
        <v>140</v>
      </c>
      <c r="B14" s="14">
        <f>B11+B12</f>
        <v>557.81494811120001</v>
      </c>
    </row>
    <row r="15" spans="1:2" x14ac:dyDescent="0.3">
      <c r="A15" t="s">
        <v>141</v>
      </c>
      <c r="B15" s="13">
        <f>SUM(Posiciones!P5:P104)</f>
        <v>-2.2956634115999783</v>
      </c>
    </row>
    <row r="16" spans="1:2" x14ac:dyDescent="0.3">
      <c r="A16" t="s">
        <v>142</v>
      </c>
      <c r="B16" s="13">
        <f>SUM(Referidos!I5:I204)</f>
        <v>-1.9388477200000032E-2</v>
      </c>
    </row>
    <row r="17" spans="1:2" x14ac:dyDescent="0.3">
      <c r="A17" s="4" t="s">
        <v>143</v>
      </c>
      <c r="B17" s="14">
        <f>B14-B4</f>
        <v>-17.18505188879999</v>
      </c>
    </row>
    <row r="18" spans="1:2" x14ac:dyDescent="0.3">
      <c r="A18" s="4" t="s">
        <v>144</v>
      </c>
      <c r="B18" s="15">
        <f>IFERROR(B17/B4,0)</f>
        <v>-2.9887046763130417E-2</v>
      </c>
    </row>
    <row r="20" spans="1:2" x14ac:dyDescent="0.3">
      <c r="A20" s="5" t="s">
        <v>145</v>
      </c>
      <c r="B20" s="6"/>
    </row>
    <row r="21" spans="1:2" ht="30" customHeight="1" x14ac:dyDescent="0.3">
      <c r="A21" t="s">
        <v>48</v>
      </c>
      <c r="B21" s="3" t="s">
        <v>146</v>
      </c>
    </row>
    <row r="22" spans="1:2" ht="30" customHeight="1" x14ac:dyDescent="0.3">
      <c r="A22" t="s">
        <v>90</v>
      </c>
      <c r="B22" s="3" t="s">
        <v>147</v>
      </c>
    </row>
    <row r="23" spans="1:2" ht="30" customHeight="1" x14ac:dyDescent="0.3">
      <c r="A23" t="s">
        <v>148</v>
      </c>
      <c r="B23" s="3" t="s">
        <v>149</v>
      </c>
    </row>
    <row r="24" spans="1:2" ht="30" customHeight="1" x14ac:dyDescent="0.3">
      <c r="A24" t="s">
        <v>25</v>
      </c>
      <c r="B24" s="3" t="s">
        <v>150</v>
      </c>
    </row>
    <row r="26" spans="1:2" x14ac:dyDescent="0.3">
      <c r="A26" s="5" t="s">
        <v>151</v>
      </c>
      <c r="B26" s="6"/>
    </row>
    <row r="27" spans="1:2" x14ac:dyDescent="0.3">
      <c r="A27" t="s">
        <v>152</v>
      </c>
      <c r="B27" s="7">
        <f>IFERROR(MAX(Precios!A5:A2004),"")</f>
        <v>46314</v>
      </c>
    </row>
    <row r="28" spans="1:2" ht="40.049999999999997" customHeight="1" x14ac:dyDescent="0.3">
      <c r="A28" t="s">
        <v>153</v>
      </c>
      <c r="B28" s="3" t="s">
        <v>154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4"/>
  <sheetViews>
    <sheetView showGridLines="0" workbookViewId="0">
      <pane ySplit="4" topLeftCell="A5" activePane="bottomLeft" state="frozen"/>
      <selection pane="bottomLeft" sqref="A1:G1"/>
    </sheetView>
  </sheetViews>
  <sheetFormatPr baseColWidth="10" defaultColWidth="8.88671875" defaultRowHeight="14.4" x14ac:dyDescent="0.3"/>
  <cols>
    <col min="1" max="1" width="12" style="12" customWidth="1"/>
    <col min="2" max="2" width="34" style="12" customWidth="1"/>
    <col min="3" max="3" width="14" style="12" customWidth="1"/>
    <col min="4" max="4" width="12" style="12" customWidth="1"/>
    <col min="5" max="5" width="13" style="12" customWidth="1"/>
    <col min="6" max="6" width="11" style="12" customWidth="1"/>
    <col min="7" max="7" width="34" style="12" customWidth="1"/>
  </cols>
  <sheetData>
    <row r="1" spans="1:7" ht="25.05" customHeight="1" x14ac:dyDescent="0.3">
      <c r="A1" s="34" t="s">
        <v>155</v>
      </c>
      <c r="B1" s="32"/>
      <c r="C1" s="32"/>
      <c r="D1" s="32"/>
      <c r="E1" s="32"/>
      <c r="F1" s="32"/>
      <c r="G1" s="32"/>
    </row>
    <row r="2" spans="1:7" ht="34.049999999999997" customHeight="1" x14ac:dyDescent="0.3">
      <c r="A2" s="31" t="s">
        <v>156</v>
      </c>
      <c r="B2" s="32"/>
      <c r="C2" s="32"/>
      <c r="D2" s="32"/>
      <c r="E2" s="32"/>
      <c r="F2" s="32"/>
      <c r="G2" s="32"/>
    </row>
    <row r="4" spans="1:7" ht="34.049999999999997" customHeight="1" x14ac:dyDescent="0.3">
      <c r="A4" s="1" t="s">
        <v>157</v>
      </c>
      <c r="B4" s="1" t="s">
        <v>158</v>
      </c>
      <c r="C4" s="1" t="s">
        <v>159</v>
      </c>
      <c r="D4" s="1" t="s">
        <v>160</v>
      </c>
      <c r="E4" s="1" t="s">
        <v>161</v>
      </c>
      <c r="F4" s="1" t="s">
        <v>162</v>
      </c>
      <c r="G4" s="1" t="s">
        <v>126</v>
      </c>
    </row>
    <row r="5" spans="1:7" x14ac:dyDescent="0.3">
      <c r="A5" s="8" t="s">
        <v>163</v>
      </c>
      <c r="B5" s="8" t="s">
        <v>164</v>
      </c>
      <c r="C5" s="8" t="s">
        <v>165</v>
      </c>
      <c r="D5" s="8" t="s">
        <v>166</v>
      </c>
      <c r="E5" s="16">
        <v>0.85</v>
      </c>
      <c r="F5" s="8" t="s">
        <v>167</v>
      </c>
      <c r="G5" s="8" t="s">
        <v>168</v>
      </c>
    </row>
    <row r="6" spans="1:7" x14ac:dyDescent="0.3">
      <c r="A6" s="8" t="s">
        <v>169</v>
      </c>
      <c r="B6" s="8" t="s">
        <v>170</v>
      </c>
      <c r="C6" s="8" t="s">
        <v>165</v>
      </c>
      <c r="D6" s="8" t="s">
        <v>166</v>
      </c>
      <c r="E6" s="16">
        <v>0.1</v>
      </c>
      <c r="F6" s="8" t="s">
        <v>167</v>
      </c>
      <c r="G6" s="8" t="s">
        <v>171</v>
      </c>
    </row>
    <row r="7" spans="1:7" x14ac:dyDescent="0.3">
      <c r="A7" s="8" t="s">
        <v>172</v>
      </c>
      <c r="B7" s="8" t="s">
        <v>173</v>
      </c>
      <c r="C7" s="8" t="s">
        <v>174</v>
      </c>
      <c r="D7" s="8" t="s">
        <v>166</v>
      </c>
      <c r="E7" s="16">
        <v>0.05</v>
      </c>
      <c r="F7" s="8" t="s">
        <v>167</v>
      </c>
      <c r="G7" s="8" t="s">
        <v>175</v>
      </c>
    </row>
    <row r="8" spans="1:7" x14ac:dyDescent="0.3">
      <c r="A8" s="8"/>
      <c r="B8" s="8"/>
      <c r="C8" s="8"/>
      <c r="D8" s="8"/>
      <c r="E8" s="16"/>
      <c r="F8" s="8"/>
      <c r="G8" s="8"/>
    </row>
    <row r="9" spans="1:7" x14ac:dyDescent="0.3">
      <c r="A9" s="8"/>
      <c r="B9" s="8"/>
      <c r="C9" s="8"/>
      <c r="D9" s="8"/>
      <c r="E9" s="16"/>
      <c r="F9" s="8"/>
      <c r="G9" s="8"/>
    </row>
    <row r="10" spans="1:7" x14ac:dyDescent="0.3">
      <c r="A10" s="8"/>
      <c r="B10" s="8"/>
      <c r="C10" s="8"/>
      <c r="D10" s="8"/>
      <c r="E10" s="16"/>
      <c r="F10" s="8"/>
      <c r="G10" s="8"/>
    </row>
    <row r="11" spans="1:7" x14ac:dyDescent="0.3">
      <c r="A11" s="8"/>
      <c r="B11" s="8"/>
      <c r="C11" s="8"/>
      <c r="D11" s="8"/>
      <c r="E11" s="16"/>
      <c r="F11" s="8"/>
      <c r="G11" s="8"/>
    </row>
    <row r="12" spans="1:7" x14ac:dyDescent="0.3">
      <c r="A12" s="8"/>
      <c r="B12" s="8"/>
      <c r="C12" s="8"/>
      <c r="D12" s="8"/>
      <c r="E12" s="16"/>
      <c r="F12" s="8"/>
      <c r="G12" s="8"/>
    </row>
    <row r="13" spans="1:7" x14ac:dyDescent="0.3">
      <c r="A13" s="8"/>
      <c r="B13" s="8"/>
      <c r="C13" s="8"/>
      <c r="D13" s="8"/>
      <c r="E13" s="16"/>
      <c r="F13" s="8"/>
      <c r="G13" s="8"/>
    </row>
    <row r="14" spans="1:7" x14ac:dyDescent="0.3">
      <c r="A14" s="8"/>
      <c r="B14" s="8"/>
      <c r="C14" s="8"/>
      <c r="D14" s="8"/>
      <c r="E14" s="16"/>
      <c r="F14" s="8"/>
      <c r="G14" s="8"/>
    </row>
    <row r="15" spans="1:7" x14ac:dyDescent="0.3">
      <c r="A15" s="8"/>
      <c r="B15" s="8"/>
      <c r="C15" s="8"/>
      <c r="D15" s="8"/>
      <c r="E15" s="16"/>
      <c r="F15" s="8"/>
      <c r="G15" s="8"/>
    </row>
    <row r="16" spans="1:7" x14ac:dyDescent="0.3">
      <c r="A16" s="8"/>
      <c r="B16" s="8"/>
      <c r="C16" s="8"/>
      <c r="D16" s="8"/>
      <c r="E16" s="16"/>
      <c r="F16" s="8"/>
      <c r="G16" s="8"/>
    </row>
    <row r="17" spans="1:7" x14ac:dyDescent="0.3">
      <c r="A17" s="8"/>
      <c r="B17" s="8"/>
      <c r="C17" s="8"/>
      <c r="D17" s="8"/>
      <c r="E17" s="16"/>
      <c r="F17" s="8"/>
      <c r="G17" s="8"/>
    </row>
    <row r="18" spans="1:7" x14ac:dyDescent="0.3">
      <c r="A18" s="8"/>
      <c r="B18" s="8"/>
      <c r="C18" s="8"/>
      <c r="D18" s="8"/>
      <c r="E18" s="16"/>
      <c r="F18" s="8"/>
      <c r="G18" s="8"/>
    </row>
    <row r="19" spans="1:7" x14ac:dyDescent="0.3">
      <c r="A19" s="8"/>
      <c r="B19" s="8"/>
      <c r="C19" s="8"/>
      <c r="D19" s="8"/>
      <c r="E19" s="16"/>
      <c r="F19" s="8"/>
      <c r="G19" s="8"/>
    </row>
    <row r="20" spans="1:7" x14ac:dyDescent="0.3">
      <c r="A20" s="8"/>
      <c r="B20" s="8"/>
      <c r="C20" s="8"/>
      <c r="D20" s="8"/>
      <c r="E20" s="16"/>
      <c r="F20" s="8"/>
      <c r="G20" s="8"/>
    </row>
    <row r="21" spans="1:7" x14ac:dyDescent="0.3">
      <c r="A21" s="8"/>
      <c r="B21" s="8"/>
      <c r="C21" s="8"/>
      <c r="D21" s="8"/>
      <c r="E21" s="16"/>
      <c r="F21" s="8"/>
      <c r="G21" s="8"/>
    </row>
    <row r="22" spans="1:7" x14ac:dyDescent="0.3">
      <c r="A22" s="8"/>
      <c r="B22" s="8"/>
      <c r="C22" s="8"/>
      <c r="D22" s="8"/>
      <c r="E22" s="16"/>
      <c r="F22" s="8"/>
      <c r="G22" s="8"/>
    </row>
    <row r="23" spans="1:7" x14ac:dyDescent="0.3">
      <c r="A23" s="8"/>
      <c r="B23" s="8"/>
      <c r="C23" s="8"/>
      <c r="D23" s="8"/>
      <c r="E23" s="16"/>
      <c r="F23" s="8"/>
      <c r="G23" s="8"/>
    </row>
    <row r="24" spans="1:7" x14ac:dyDescent="0.3">
      <c r="A24" s="8"/>
      <c r="B24" s="8"/>
      <c r="C24" s="8"/>
      <c r="D24" s="8"/>
      <c r="E24" s="16"/>
      <c r="F24" s="8"/>
      <c r="G24" s="8"/>
    </row>
    <row r="25" spans="1:7" x14ac:dyDescent="0.3">
      <c r="A25" s="8"/>
      <c r="B25" s="8"/>
      <c r="C25" s="8"/>
      <c r="D25" s="8"/>
      <c r="E25" s="16"/>
      <c r="F25" s="8"/>
      <c r="G25" s="8"/>
    </row>
    <row r="26" spans="1:7" x14ac:dyDescent="0.3">
      <c r="A26" s="8"/>
      <c r="B26" s="8"/>
      <c r="C26" s="8"/>
      <c r="D26" s="8"/>
      <c r="E26" s="16"/>
      <c r="F26" s="8"/>
      <c r="G26" s="8"/>
    </row>
    <row r="27" spans="1:7" x14ac:dyDescent="0.3">
      <c r="A27" s="8"/>
      <c r="B27" s="8"/>
      <c r="C27" s="8"/>
      <c r="D27" s="8"/>
      <c r="E27" s="16"/>
      <c r="F27" s="8"/>
      <c r="G27" s="8"/>
    </row>
    <row r="28" spans="1:7" x14ac:dyDescent="0.3">
      <c r="A28" s="8"/>
      <c r="B28" s="8"/>
      <c r="C28" s="8"/>
      <c r="D28" s="8"/>
      <c r="E28" s="16"/>
      <c r="F28" s="8"/>
      <c r="G28" s="8"/>
    </row>
    <row r="29" spans="1:7" x14ac:dyDescent="0.3">
      <c r="A29" s="8"/>
      <c r="B29" s="8"/>
      <c r="C29" s="8"/>
      <c r="D29" s="8"/>
      <c r="E29" s="16"/>
      <c r="F29" s="8"/>
      <c r="G29" s="8"/>
    </row>
    <row r="30" spans="1:7" x14ac:dyDescent="0.3">
      <c r="A30" s="8"/>
      <c r="B30" s="8"/>
      <c r="C30" s="8"/>
      <c r="D30" s="8"/>
      <c r="E30" s="16"/>
      <c r="F30" s="8"/>
      <c r="G30" s="8"/>
    </row>
    <row r="31" spans="1:7" x14ac:dyDescent="0.3">
      <c r="A31" s="8"/>
      <c r="B31" s="8"/>
      <c r="C31" s="8"/>
      <c r="D31" s="8"/>
      <c r="E31" s="16"/>
      <c r="F31" s="8"/>
      <c r="G31" s="8"/>
    </row>
    <row r="32" spans="1:7" x14ac:dyDescent="0.3">
      <c r="A32" s="8"/>
      <c r="B32" s="8"/>
      <c r="C32" s="8"/>
      <c r="D32" s="8"/>
      <c r="E32" s="16"/>
      <c r="F32" s="8"/>
      <c r="G32" s="8"/>
    </row>
    <row r="33" spans="1:7" x14ac:dyDescent="0.3">
      <c r="A33" s="8"/>
      <c r="B33" s="8"/>
      <c r="C33" s="8"/>
      <c r="D33" s="8"/>
      <c r="E33" s="16"/>
      <c r="F33" s="8"/>
      <c r="G33" s="8"/>
    </row>
    <row r="34" spans="1:7" x14ac:dyDescent="0.3">
      <c r="A34" s="8"/>
      <c r="B34" s="8"/>
      <c r="C34" s="8"/>
      <c r="D34" s="8"/>
      <c r="E34" s="16"/>
      <c r="F34" s="8"/>
      <c r="G34" s="8"/>
    </row>
    <row r="35" spans="1:7" x14ac:dyDescent="0.3">
      <c r="A35" s="8"/>
      <c r="B35" s="8"/>
      <c r="C35" s="8"/>
      <c r="D35" s="8"/>
      <c r="E35" s="16"/>
      <c r="F35" s="8"/>
      <c r="G35" s="8"/>
    </row>
    <row r="36" spans="1:7" x14ac:dyDescent="0.3">
      <c r="A36" s="8"/>
      <c r="B36" s="8"/>
      <c r="C36" s="8"/>
      <c r="D36" s="8"/>
      <c r="E36" s="16"/>
      <c r="F36" s="8"/>
      <c r="G36" s="8"/>
    </row>
    <row r="37" spans="1:7" x14ac:dyDescent="0.3">
      <c r="A37" s="8"/>
      <c r="B37" s="8"/>
      <c r="C37" s="8"/>
      <c r="D37" s="8"/>
      <c r="E37" s="16"/>
      <c r="F37" s="8"/>
      <c r="G37" s="8"/>
    </row>
    <row r="38" spans="1:7" x14ac:dyDescent="0.3">
      <c r="A38" s="8"/>
      <c r="B38" s="8"/>
      <c r="C38" s="8"/>
      <c r="D38" s="8"/>
      <c r="E38" s="16"/>
      <c r="F38" s="8"/>
      <c r="G38" s="8"/>
    </row>
    <row r="39" spans="1:7" x14ac:dyDescent="0.3">
      <c r="A39" s="8"/>
      <c r="B39" s="8"/>
      <c r="C39" s="8"/>
      <c r="D39" s="8"/>
      <c r="E39" s="16"/>
      <c r="F39" s="8"/>
      <c r="G39" s="8"/>
    </row>
    <row r="40" spans="1:7" x14ac:dyDescent="0.3">
      <c r="A40" s="8"/>
      <c r="B40" s="8"/>
      <c r="C40" s="8"/>
      <c r="D40" s="8"/>
      <c r="E40" s="16"/>
      <c r="F40" s="8"/>
      <c r="G40" s="8"/>
    </row>
    <row r="41" spans="1:7" x14ac:dyDescent="0.3">
      <c r="A41" s="8"/>
      <c r="B41" s="8"/>
      <c r="C41" s="8"/>
      <c r="D41" s="8"/>
      <c r="E41" s="16"/>
      <c r="F41" s="8"/>
      <c r="G41" s="8"/>
    </row>
    <row r="42" spans="1:7" x14ac:dyDescent="0.3">
      <c r="A42" s="8"/>
      <c r="B42" s="8"/>
      <c r="C42" s="8"/>
      <c r="D42" s="8"/>
      <c r="E42" s="16"/>
      <c r="F42" s="8"/>
      <c r="G42" s="8"/>
    </row>
    <row r="43" spans="1:7" x14ac:dyDescent="0.3">
      <c r="A43" s="8"/>
      <c r="B43" s="8"/>
      <c r="C43" s="8"/>
      <c r="D43" s="8"/>
      <c r="E43" s="16"/>
      <c r="F43" s="8"/>
      <c r="G43" s="8"/>
    </row>
    <row r="44" spans="1:7" x14ac:dyDescent="0.3">
      <c r="A44" s="8"/>
      <c r="B44" s="8"/>
      <c r="C44" s="8"/>
      <c r="D44" s="8"/>
      <c r="E44" s="16"/>
      <c r="F44" s="8"/>
      <c r="G44" s="8"/>
    </row>
    <row r="45" spans="1:7" x14ac:dyDescent="0.3">
      <c r="A45" s="8"/>
      <c r="B45" s="8"/>
      <c r="C45" s="8"/>
      <c r="D45" s="8"/>
      <c r="E45" s="16"/>
      <c r="F45" s="8"/>
      <c r="G45" s="8"/>
    </row>
    <row r="46" spans="1:7" x14ac:dyDescent="0.3">
      <c r="A46" s="8"/>
      <c r="B46" s="8"/>
      <c r="C46" s="8"/>
      <c r="D46" s="8"/>
      <c r="E46" s="16"/>
      <c r="F46" s="8"/>
      <c r="G46" s="8"/>
    </row>
    <row r="47" spans="1:7" x14ac:dyDescent="0.3">
      <c r="A47" s="8"/>
      <c r="B47" s="8"/>
      <c r="C47" s="8"/>
      <c r="D47" s="8"/>
      <c r="E47" s="16"/>
      <c r="F47" s="8"/>
      <c r="G47" s="8"/>
    </row>
    <row r="48" spans="1:7" x14ac:dyDescent="0.3">
      <c r="A48" s="8"/>
      <c r="B48" s="8"/>
      <c r="C48" s="8"/>
      <c r="D48" s="8"/>
      <c r="E48" s="16"/>
      <c r="F48" s="8"/>
      <c r="G48" s="8"/>
    </row>
    <row r="49" spans="1:7" x14ac:dyDescent="0.3">
      <c r="A49" s="8"/>
      <c r="B49" s="8"/>
      <c r="C49" s="8"/>
      <c r="D49" s="8"/>
      <c r="E49" s="16"/>
      <c r="F49" s="8"/>
      <c r="G49" s="8"/>
    </row>
    <row r="50" spans="1:7" x14ac:dyDescent="0.3">
      <c r="A50" s="8"/>
      <c r="B50" s="8"/>
      <c r="C50" s="8"/>
      <c r="D50" s="8"/>
      <c r="E50" s="16"/>
      <c r="F50" s="8"/>
      <c r="G50" s="8"/>
    </row>
    <row r="51" spans="1:7" x14ac:dyDescent="0.3">
      <c r="A51" s="8"/>
      <c r="B51" s="8"/>
      <c r="C51" s="8"/>
      <c r="D51" s="8"/>
      <c r="E51" s="16"/>
      <c r="F51" s="8"/>
      <c r="G51" s="8"/>
    </row>
    <row r="52" spans="1:7" x14ac:dyDescent="0.3">
      <c r="A52" s="8"/>
      <c r="B52" s="8"/>
      <c r="C52" s="8"/>
      <c r="D52" s="8"/>
      <c r="E52" s="16"/>
      <c r="F52" s="8"/>
      <c r="G52" s="8"/>
    </row>
    <row r="53" spans="1:7" x14ac:dyDescent="0.3">
      <c r="A53" s="8"/>
      <c r="B53" s="8"/>
      <c r="C53" s="8"/>
      <c r="D53" s="8"/>
      <c r="E53" s="16"/>
      <c r="F53" s="8"/>
      <c r="G53" s="8"/>
    </row>
    <row r="54" spans="1:7" x14ac:dyDescent="0.3">
      <c r="A54" s="8"/>
      <c r="B54" s="8"/>
      <c r="C54" s="8"/>
      <c r="D54" s="8"/>
      <c r="E54" s="16"/>
      <c r="F54" s="8"/>
      <c r="G54" s="8"/>
    </row>
    <row r="55" spans="1:7" x14ac:dyDescent="0.3">
      <c r="A55" s="8"/>
      <c r="B55" s="8"/>
      <c r="C55" s="8"/>
      <c r="D55" s="8"/>
      <c r="E55" s="16"/>
      <c r="F55" s="8"/>
      <c r="G55" s="8"/>
    </row>
    <row r="56" spans="1:7" x14ac:dyDescent="0.3">
      <c r="A56" s="8"/>
      <c r="B56" s="8"/>
      <c r="C56" s="8"/>
      <c r="D56" s="8"/>
      <c r="E56" s="16"/>
      <c r="F56" s="8"/>
      <c r="G56" s="8"/>
    </row>
    <row r="57" spans="1:7" x14ac:dyDescent="0.3">
      <c r="A57" s="8"/>
      <c r="B57" s="8"/>
      <c r="C57" s="8"/>
      <c r="D57" s="8"/>
      <c r="E57" s="16"/>
      <c r="F57" s="8"/>
      <c r="G57" s="8"/>
    </row>
    <row r="58" spans="1:7" x14ac:dyDescent="0.3">
      <c r="A58" s="8"/>
      <c r="B58" s="8"/>
      <c r="C58" s="8"/>
      <c r="D58" s="8"/>
      <c r="E58" s="16"/>
      <c r="F58" s="8"/>
      <c r="G58" s="8"/>
    </row>
    <row r="59" spans="1:7" x14ac:dyDescent="0.3">
      <c r="A59" s="8"/>
      <c r="B59" s="8"/>
      <c r="C59" s="8"/>
      <c r="D59" s="8"/>
      <c r="E59" s="16"/>
      <c r="F59" s="8"/>
      <c r="G59" s="8"/>
    </row>
    <row r="60" spans="1:7" x14ac:dyDescent="0.3">
      <c r="A60" s="8"/>
      <c r="B60" s="8"/>
      <c r="C60" s="8"/>
      <c r="D60" s="8"/>
      <c r="E60" s="16"/>
      <c r="F60" s="8"/>
      <c r="G60" s="8"/>
    </row>
    <row r="61" spans="1:7" x14ac:dyDescent="0.3">
      <c r="A61" s="8"/>
      <c r="B61" s="8"/>
      <c r="C61" s="8"/>
      <c r="D61" s="8"/>
      <c r="E61" s="16"/>
      <c r="F61" s="8"/>
      <c r="G61" s="8"/>
    </row>
    <row r="62" spans="1:7" x14ac:dyDescent="0.3">
      <c r="A62" s="8"/>
      <c r="B62" s="8"/>
      <c r="C62" s="8"/>
      <c r="D62" s="8"/>
      <c r="E62" s="16"/>
      <c r="F62" s="8"/>
      <c r="G62" s="8"/>
    </row>
    <row r="63" spans="1:7" x14ac:dyDescent="0.3">
      <c r="A63" s="8"/>
      <c r="B63" s="8"/>
      <c r="C63" s="8"/>
      <c r="D63" s="8"/>
      <c r="E63" s="16"/>
      <c r="F63" s="8"/>
      <c r="G63" s="8"/>
    </row>
    <row r="64" spans="1:7" x14ac:dyDescent="0.3">
      <c r="A64" s="8"/>
      <c r="B64" s="8"/>
      <c r="C64" s="8"/>
      <c r="D64" s="8"/>
      <c r="E64" s="16"/>
      <c r="F64" s="8"/>
      <c r="G64" s="8"/>
    </row>
    <row r="65" spans="1:7" x14ac:dyDescent="0.3">
      <c r="A65" s="8"/>
      <c r="B65" s="8"/>
      <c r="C65" s="8"/>
      <c r="D65" s="8"/>
      <c r="E65" s="16"/>
      <c r="F65" s="8"/>
      <c r="G65" s="8"/>
    </row>
    <row r="66" spans="1:7" x14ac:dyDescent="0.3">
      <c r="A66" s="8"/>
      <c r="B66" s="8"/>
      <c r="C66" s="8"/>
      <c r="D66" s="8"/>
      <c r="E66" s="16"/>
      <c r="F66" s="8"/>
      <c r="G66" s="8"/>
    </row>
    <row r="67" spans="1:7" x14ac:dyDescent="0.3">
      <c r="A67" s="8"/>
      <c r="B67" s="8"/>
      <c r="C67" s="8"/>
      <c r="D67" s="8"/>
      <c r="E67" s="16"/>
      <c r="F67" s="8"/>
      <c r="G67" s="8"/>
    </row>
    <row r="68" spans="1:7" x14ac:dyDescent="0.3">
      <c r="A68" s="8"/>
      <c r="B68" s="8"/>
      <c r="C68" s="8"/>
      <c r="D68" s="8"/>
      <c r="E68" s="16"/>
      <c r="F68" s="8"/>
      <c r="G68" s="8"/>
    </row>
    <row r="69" spans="1:7" x14ac:dyDescent="0.3">
      <c r="A69" s="8"/>
      <c r="B69" s="8"/>
      <c r="C69" s="8"/>
      <c r="D69" s="8"/>
      <c r="E69" s="16"/>
      <c r="F69" s="8"/>
      <c r="G69" s="8"/>
    </row>
    <row r="70" spans="1:7" x14ac:dyDescent="0.3">
      <c r="A70" s="8"/>
      <c r="B70" s="8"/>
      <c r="C70" s="8"/>
      <c r="D70" s="8"/>
      <c r="E70" s="16"/>
      <c r="F70" s="8"/>
      <c r="G70" s="8"/>
    </row>
    <row r="71" spans="1:7" x14ac:dyDescent="0.3">
      <c r="A71" s="8"/>
      <c r="B71" s="8"/>
      <c r="C71" s="8"/>
      <c r="D71" s="8"/>
      <c r="E71" s="16"/>
      <c r="F71" s="8"/>
      <c r="G71" s="8"/>
    </row>
    <row r="72" spans="1:7" x14ac:dyDescent="0.3">
      <c r="A72" s="8"/>
      <c r="B72" s="8"/>
      <c r="C72" s="8"/>
      <c r="D72" s="8"/>
      <c r="E72" s="16"/>
      <c r="F72" s="8"/>
      <c r="G72" s="8"/>
    </row>
    <row r="73" spans="1:7" x14ac:dyDescent="0.3">
      <c r="A73" s="8"/>
      <c r="B73" s="8"/>
      <c r="C73" s="8"/>
      <c r="D73" s="8"/>
      <c r="E73" s="16"/>
      <c r="F73" s="8"/>
      <c r="G73" s="8"/>
    </row>
    <row r="74" spans="1:7" x14ac:dyDescent="0.3">
      <c r="A74" s="8"/>
      <c r="B74" s="8"/>
      <c r="C74" s="8"/>
      <c r="D74" s="8"/>
      <c r="E74" s="16"/>
      <c r="F74" s="8"/>
      <c r="G74" s="8"/>
    </row>
    <row r="75" spans="1:7" x14ac:dyDescent="0.3">
      <c r="A75" s="8"/>
      <c r="B75" s="8"/>
      <c r="C75" s="8"/>
      <c r="D75" s="8"/>
      <c r="E75" s="16"/>
      <c r="F75" s="8"/>
      <c r="G75" s="8"/>
    </row>
    <row r="76" spans="1:7" x14ac:dyDescent="0.3">
      <c r="A76" s="8"/>
      <c r="B76" s="8"/>
      <c r="C76" s="8"/>
      <c r="D76" s="8"/>
      <c r="E76" s="16"/>
      <c r="F76" s="8"/>
      <c r="G76" s="8"/>
    </row>
    <row r="77" spans="1:7" x14ac:dyDescent="0.3">
      <c r="A77" s="8"/>
      <c r="B77" s="8"/>
      <c r="C77" s="8"/>
      <c r="D77" s="8"/>
      <c r="E77" s="16"/>
      <c r="F77" s="8"/>
      <c r="G77" s="8"/>
    </row>
    <row r="78" spans="1:7" x14ac:dyDescent="0.3">
      <c r="A78" s="8"/>
      <c r="B78" s="8"/>
      <c r="C78" s="8"/>
      <c r="D78" s="8"/>
      <c r="E78" s="16"/>
      <c r="F78" s="8"/>
      <c r="G78" s="8"/>
    </row>
    <row r="79" spans="1:7" x14ac:dyDescent="0.3">
      <c r="A79" s="8"/>
      <c r="B79" s="8"/>
      <c r="C79" s="8"/>
      <c r="D79" s="8"/>
      <c r="E79" s="16"/>
      <c r="F79" s="8"/>
      <c r="G79" s="8"/>
    </row>
    <row r="80" spans="1:7" x14ac:dyDescent="0.3">
      <c r="A80" s="8"/>
      <c r="B80" s="8"/>
      <c r="C80" s="8"/>
      <c r="D80" s="8"/>
      <c r="E80" s="16"/>
      <c r="F80" s="8"/>
      <c r="G80" s="8"/>
    </row>
    <row r="81" spans="1:7" x14ac:dyDescent="0.3">
      <c r="A81" s="8"/>
      <c r="B81" s="8"/>
      <c r="C81" s="8"/>
      <c r="D81" s="8"/>
      <c r="E81" s="16"/>
      <c r="F81" s="8"/>
      <c r="G81" s="8"/>
    </row>
    <row r="82" spans="1:7" x14ac:dyDescent="0.3">
      <c r="A82" s="8"/>
      <c r="B82" s="8"/>
      <c r="C82" s="8"/>
      <c r="D82" s="8"/>
      <c r="E82" s="16"/>
      <c r="F82" s="8"/>
      <c r="G82" s="8"/>
    </row>
    <row r="83" spans="1:7" x14ac:dyDescent="0.3">
      <c r="A83" s="8"/>
      <c r="B83" s="8"/>
      <c r="C83" s="8"/>
      <c r="D83" s="8"/>
      <c r="E83" s="16"/>
      <c r="F83" s="8"/>
      <c r="G83" s="8"/>
    </row>
    <row r="84" spans="1:7" x14ac:dyDescent="0.3">
      <c r="A84" s="8"/>
      <c r="B84" s="8"/>
      <c r="C84" s="8"/>
      <c r="D84" s="8"/>
      <c r="E84" s="16"/>
      <c r="F84" s="8"/>
      <c r="G84" s="8"/>
    </row>
    <row r="85" spans="1:7" x14ac:dyDescent="0.3">
      <c r="A85" s="8"/>
      <c r="B85" s="8"/>
      <c r="C85" s="8"/>
      <c r="D85" s="8"/>
      <c r="E85" s="16"/>
      <c r="F85" s="8"/>
      <c r="G85" s="8"/>
    </row>
    <row r="86" spans="1:7" x14ac:dyDescent="0.3">
      <c r="A86" s="8"/>
      <c r="B86" s="8"/>
      <c r="C86" s="8"/>
      <c r="D86" s="8"/>
      <c r="E86" s="16"/>
      <c r="F86" s="8"/>
      <c r="G86" s="8"/>
    </row>
    <row r="87" spans="1:7" x14ac:dyDescent="0.3">
      <c r="A87" s="8"/>
      <c r="B87" s="8"/>
      <c r="C87" s="8"/>
      <c r="D87" s="8"/>
      <c r="E87" s="16"/>
      <c r="F87" s="8"/>
      <c r="G87" s="8"/>
    </row>
    <row r="88" spans="1:7" x14ac:dyDescent="0.3">
      <c r="A88" s="8"/>
      <c r="B88" s="8"/>
      <c r="C88" s="8"/>
      <c r="D88" s="8"/>
      <c r="E88" s="16"/>
      <c r="F88" s="8"/>
      <c r="G88" s="8"/>
    </row>
    <row r="89" spans="1:7" x14ac:dyDescent="0.3">
      <c r="A89" s="8"/>
      <c r="B89" s="8"/>
      <c r="C89" s="8"/>
      <c r="D89" s="8"/>
      <c r="E89" s="16"/>
      <c r="F89" s="8"/>
      <c r="G89" s="8"/>
    </row>
    <row r="90" spans="1:7" x14ac:dyDescent="0.3">
      <c r="A90" s="8"/>
      <c r="B90" s="8"/>
      <c r="C90" s="8"/>
      <c r="D90" s="8"/>
      <c r="E90" s="16"/>
      <c r="F90" s="8"/>
      <c r="G90" s="8"/>
    </row>
    <row r="91" spans="1:7" x14ac:dyDescent="0.3">
      <c r="A91" s="8"/>
      <c r="B91" s="8"/>
      <c r="C91" s="8"/>
      <c r="D91" s="8"/>
      <c r="E91" s="16"/>
      <c r="F91" s="8"/>
      <c r="G91" s="8"/>
    </row>
    <row r="92" spans="1:7" x14ac:dyDescent="0.3">
      <c r="A92" s="8"/>
      <c r="B92" s="8"/>
      <c r="C92" s="8"/>
      <c r="D92" s="8"/>
      <c r="E92" s="16"/>
      <c r="F92" s="8"/>
      <c r="G92" s="8"/>
    </row>
    <row r="93" spans="1:7" x14ac:dyDescent="0.3">
      <c r="A93" s="8"/>
      <c r="B93" s="8"/>
      <c r="C93" s="8"/>
      <c r="D93" s="8"/>
      <c r="E93" s="16"/>
      <c r="F93" s="8"/>
      <c r="G93" s="8"/>
    </row>
    <row r="94" spans="1:7" x14ac:dyDescent="0.3">
      <c r="A94" s="8"/>
      <c r="B94" s="8"/>
      <c r="C94" s="8"/>
      <c r="D94" s="8"/>
      <c r="E94" s="16"/>
      <c r="F94" s="8"/>
      <c r="G94" s="8"/>
    </row>
    <row r="95" spans="1:7" x14ac:dyDescent="0.3">
      <c r="A95" s="8"/>
      <c r="B95" s="8"/>
      <c r="C95" s="8"/>
      <c r="D95" s="8"/>
      <c r="E95" s="16"/>
      <c r="F95" s="8"/>
      <c r="G95" s="8"/>
    </row>
    <row r="96" spans="1:7" x14ac:dyDescent="0.3">
      <c r="A96" s="8"/>
      <c r="B96" s="8"/>
      <c r="C96" s="8"/>
      <c r="D96" s="8"/>
      <c r="E96" s="16"/>
      <c r="F96" s="8"/>
      <c r="G96" s="8"/>
    </row>
    <row r="97" spans="1:7" x14ac:dyDescent="0.3">
      <c r="A97" s="8"/>
      <c r="B97" s="8"/>
      <c r="C97" s="8"/>
      <c r="D97" s="8"/>
      <c r="E97" s="16"/>
      <c r="F97" s="8"/>
      <c r="G97" s="8"/>
    </row>
    <row r="98" spans="1:7" x14ac:dyDescent="0.3">
      <c r="A98" s="8"/>
      <c r="B98" s="8"/>
      <c r="C98" s="8"/>
      <c r="D98" s="8"/>
      <c r="E98" s="16"/>
      <c r="F98" s="8"/>
      <c r="G98" s="8"/>
    </row>
    <row r="99" spans="1:7" x14ac:dyDescent="0.3">
      <c r="A99" s="8"/>
      <c r="B99" s="8"/>
      <c r="C99" s="8"/>
      <c r="D99" s="8"/>
      <c r="E99" s="16"/>
      <c r="F99" s="8"/>
      <c r="G99" s="8"/>
    </row>
    <row r="100" spans="1:7" x14ac:dyDescent="0.3">
      <c r="A100" s="8"/>
      <c r="B100" s="8"/>
      <c r="C100" s="8"/>
      <c r="D100" s="8"/>
      <c r="E100" s="16"/>
      <c r="F100" s="8"/>
      <c r="G100" s="8"/>
    </row>
    <row r="101" spans="1:7" x14ac:dyDescent="0.3">
      <c r="A101" s="8"/>
      <c r="B101" s="8"/>
      <c r="C101" s="8"/>
      <c r="D101" s="8"/>
      <c r="E101" s="16"/>
      <c r="F101" s="8"/>
      <c r="G101" s="8"/>
    </row>
    <row r="102" spans="1:7" x14ac:dyDescent="0.3">
      <c r="A102" s="8"/>
      <c r="B102" s="8"/>
      <c r="C102" s="8"/>
      <c r="D102" s="8"/>
      <c r="E102" s="16"/>
      <c r="F102" s="8"/>
      <c r="G102" s="8"/>
    </row>
    <row r="103" spans="1:7" x14ac:dyDescent="0.3">
      <c r="A103" s="8"/>
      <c r="B103" s="8"/>
      <c r="C103" s="8"/>
      <c r="D103" s="8"/>
      <c r="E103" s="16"/>
      <c r="F103" s="8"/>
      <c r="G103" s="8"/>
    </row>
    <row r="104" spans="1:7" x14ac:dyDescent="0.3">
      <c r="A104" s="8"/>
      <c r="B104" s="8"/>
      <c r="C104" s="8"/>
      <c r="D104" s="8"/>
      <c r="E104" s="16"/>
      <c r="F104" s="8"/>
      <c r="G104" s="8"/>
    </row>
  </sheetData>
  <autoFilter ref="A4:G104" xr:uid="{00000000-0009-0000-0000-000002000000}"/>
  <mergeCells count="2">
    <mergeCell ref="A2:G2"/>
    <mergeCell ref="A1:G1"/>
  </mergeCells>
  <dataValidations count="4">
    <dataValidation type="list" allowBlank="1" sqref="C5:C104" xr:uid="{00000000-0002-0000-0200-000000000000}">
      <formula1>"ETF,STOCK,CRIPTO"</formula1>
    </dataValidation>
    <dataValidation type="list" allowBlank="1" sqref="D5:D104" xr:uid="{00000000-0002-0000-0200-000001000000}">
      <formula1>"USD,EUR"</formula1>
    </dataValidation>
    <dataValidation type="list" allowBlank="1" sqref="F5:F104" xr:uid="{00000000-0002-0000-0200-000002000000}">
      <formula1>"SI,NO"</formula1>
    </dataValidation>
    <dataValidation type="decimal" allowBlank="1" sqref="E5:E104" xr:uid="{00000000-0002-0000-0200-000003000000}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4"/>
  <sheetViews>
    <sheetView showGridLines="0" workbookViewId="0">
      <pane ySplit="4" topLeftCell="A5" activePane="bottomLeft" state="frozen"/>
      <selection pane="bottomLeft" sqref="A1:F1"/>
    </sheetView>
  </sheetViews>
  <sheetFormatPr baseColWidth="10" defaultColWidth="8.88671875" defaultRowHeight="14.4" x14ac:dyDescent="0.3"/>
  <cols>
    <col min="1" max="1" width="14" style="12" customWidth="1"/>
    <col min="2" max="4" width="18" style="12" customWidth="1"/>
    <col min="5" max="5" width="33" style="12" customWidth="1"/>
    <col min="6" max="6" width="34" style="12" customWidth="1"/>
  </cols>
  <sheetData>
    <row r="1" spans="1:6" ht="25.05" customHeight="1" x14ac:dyDescent="0.3">
      <c r="A1" s="34" t="s">
        <v>176</v>
      </c>
      <c r="B1" s="32"/>
      <c r="C1" s="32"/>
      <c r="D1" s="32"/>
      <c r="E1" s="32"/>
      <c r="F1" s="32"/>
    </row>
    <row r="2" spans="1:6" ht="34.049999999999997" customHeight="1" x14ac:dyDescent="0.3">
      <c r="A2" s="31" t="s">
        <v>177</v>
      </c>
      <c r="B2" s="32"/>
      <c r="C2" s="32"/>
      <c r="D2" s="32"/>
      <c r="E2" s="32"/>
      <c r="F2" s="32"/>
    </row>
    <row r="4" spans="1:6" ht="34.049999999999997" customHeight="1" x14ac:dyDescent="0.3">
      <c r="A4" s="1" t="s">
        <v>178</v>
      </c>
      <c r="B4" s="1" t="s">
        <v>179</v>
      </c>
      <c r="C4" s="1" t="s">
        <v>180</v>
      </c>
      <c r="D4" s="1" t="s">
        <v>181</v>
      </c>
      <c r="E4" s="1" t="s">
        <v>182</v>
      </c>
      <c r="F4" s="1" t="s">
        <v>126</v>
      </c>
    </row>
    <row r="5" spans="1:6" x14ac:dyDescent="0.3">
      <c r="A5" s="9">
        <v>46308</v>
      </c>
      <c r="B5" s="17">
        <v>125</v>
      </c>
      <c r="C5" s="17">
        <v>120.22</v>
      </c>
      <c r="D5" s="18">
        <f t="shared" ref="D5:D36" si="0">IF(OR(B5="",C5=""),"",B5-C5)</f>
        <v>4.7800000000000011</v>
      </c>
      <c r="E5" s="8" t="s">
        <v>183</v>
      </c>
      <c r="F5" s="8" t="s">
        <v>184</v>
      </c>
    </row>
    <row r="6" spans="1:6" x14ac:dyDescent="0.3">
      <c r="A6" s="9">
        <v>46314</v>
      </c>
      <c r="B6" s="17">
        <v>250</v>
      </c>
      <c r="C6" s="17">
        <v>243.33</v>
      </c>
      <c r="D6" s="18">
        <f t="shared" si="0"/>
        <v>6.6699999999999875</v>
      </c>
      <c r="E6" s="8" t="s">
        <v>183</v>
      </c>
      <c r="F6" s="8" t="s">
        <v>185</v>
      </c>
    </row>
    <row r="7" spans="1:6" x14ac:dyDescent="0.3">
      <c r="A7" s="9">
        <v>46316</v>
      </c>
      <c r="B7" s="17">
        <v>200</v>
      </c>
      <c r="C7" s="17">
        <v>195.58</v>
      </c>
      <c r="D7" s="18">
        <f t="shared" si="0"/>
        <v>4.4199999999999875</v>
      </c>
      <c r="E7" s="8" t="s">
        <v>183</v>
      </c>
      <c r="F7" s="8" t="s">
        <v>186</v>
      </c>
    </row>
    <row r="8" spans="1:6" x14ac:dyDescent="0.3">
      <c r="A8" s="9"/>
      <c r="B8" s="17"/>
      <c r="C8" s="17"/>
      <c r="D8" s="18" t="str">
        <f t="shared" si="0"/>
        <v/>
      </c>
      <c r="E8" s="8"/>
      <c r="F8" s="8"/>
    </row>
    <row r="9" spans="1:6" x14ac:dyDescent="0.3">
      <c r="A9" s="9"/>
      <c r="B9" s="17"/>
      <c r="C9" s="17"/>
      <c r="D9" s="18" t="str">
        <f t="shared" si="0"/>
        <v/>
      </c>
      <c r="E9" s="8"/>
      <c r="F9" s="8"/>
    </row>
    <row r="10" spans="1:6" x14ac:dyDescent="0.3">
      <c r="A10" s="9"/>
      <c r="B10" s="17"/>
      <c r="C10" s="17"/>
      <c r="D10" s="18" t="str">
        <f t="shared" si="0"/>
        <v/>
      </c>
      <c r="E10" s="8"/>
      <c r="F10" s="8"/>
    </row>
    <row r="11" spans="1:6" x14ac:dyDescent="0.3">
      <c r="A11" s="9"/>
      <c r="B11" s="17"/>
      <c r="C11" s="17"/>
      <c r="D11" s="18" t="str">
        <f t="shared" si="0"/>
        <v/>
      </c>
      <c r="E11" s="8"/>
      <c r="F11" s="8"/>
    </row>
    <row r="12" spans="1:6" x14ac:dyDescent="0.3">
      <c r="A12" s="9"/>
      <c r="B12" s="17"/>
      <c r="C12" s="17"/>
      <c r="D12" s="18" t="str">
        <f t="shared" si="0"/>
        <v/>
      </c>
      <c r="E12" s="8"/>
      <c r="F12" s="8"/>
    </row>
    <row r="13" spans="1:6" x14ac:dyDescent="0.3">
      <c r="A13" s="9"/>
      <c r="B13" s="17"/>
      <c r="C13" s="17"/>
      <c r="D13" s="18" t="str">
        <f t="shared" si="0"/>
        <v/>
      </c>
      <c r="E13" s="8"/>
      <c r="F13" s="8"/>
    </row>
    <row r="14" spans="1:6" x14ac:dyDescent="0.3">
      <c r="A14" s="9"/>
      <c r="B14" s="17"/>
      <c r="C14" s="17"/>
      <c r="D14" s="18" t="str">
        <f t="shared" si="0"/>
        <v/>
      </c>
      <c r="E14" s="8"/>
      <c r="F14" s="8"/>
    </row>
    <row r="15" spans="1:6" x14ac:dyDescent="0.3">
      <c r="A15" s="9"/>
      <c r="B15" s="17"/>
      <c r="C15" s="17"/>
      <c r="D15" s="18" t="str">
        <f t="shared" si="0"/>
        <v/>
      </c>
      <c r="E15" s="8"/>
      <c r="F15" s="8"/>
    </row>
    <row r="16" spans="1:6" x14ac:dyDescent="0.3">
      <c r="A16" s="9"/>
      <c r="B16" s="17"/>
      <c r="C16" s="17"/>
      <c r="D16" s="18" t="str">
        <f t="shared" si="0"/>
        <v/>
      </c>
      <c r="E16" s="8"/>
      <c r="F16" s="8"/>
    </row>
    <row r="17" spans="1:6" x14ac:dyDescent="0.3">
      <c r="A17" s="9"/>
      <c r="B17" s="17"/>
      <c r="C17" s="17"/>
      <c r="D17" s="18" t="str">
        <f t="shared" si="0"/>
        <v/>
      </c>
      <c r="E17" s="8"/>
      <c r="F17" s="8"/>
    </row>
    <row r="18" spans="1:6" x14ac:dyDescent="0.3">
      <c r="A18" s="9"/>
      <c r="B18" s="17"/>
      <c r="C18" s="17"/>
      <c r="D18" s="18" t="str">
        <f t="shared" si="0"/>
        <v/>
      </c>
      <c r="E18" s="8"/>
      <c r="F18" s="8"/>
    </row>
    <row r="19" spans="1:6" x14ac:dyDescent="0.3">
      <c r="A19" s="9"/>
      <c r="B19" s="17"/>
      <c r="C19" s="17"/>
      <c r="D19" s="18" t="str">
        <f t="shared" si="0"/>
        <v/>
      </c>
      <c r="E19" s="8"/>
      <c r="F19" s="8"/>
    </row>
    <row r="20" spans="1:6" x14ac:dyDescent="0.3">
      <c r="A20" s="9"/>
      <c r="B20" s="17"/>
      <c r="C20" s="17"/>
      <c r="D20" s="18" t="str">
        <f t="shared" si="0"/>
        <v/>
      </c>
      <c r="E20" s="8"/>
      <c r="F20" s="8"/>
    </row>
    <row r="21" spans="1:6" x14ac:dyDescent="0.3">
      <c r="A21" s="9"/>
      <c r="B21" s="17"/>
      <c r="C21" s="17"/>
      <c r="D21" s="18" t="str">
        <f t="shared" si="0"/>
        <v/>
      </c>
      <c r="E21" s="8"/>
      <c r="F21" s="8"/>
    </row>
    <row r="22" spans="1:6" x14ac:dyDescent="0.3">
      <c r="A22" s="9"/>
      <c r="B22" s="17"/>
      <c r="C22" s="17"/>
      <c r="D22" s="18" t="str">
        <f t="shared" si="0"/>
        <v/>
      </c>
      <c r="E22" s="8"/>
      <c r="F22" s="8"/>
    </row>
    <row r="23" spans="1:6" x14ac:dyDescent="0.3">
      <c r="A23" s="9"/>
      <c r="B23" s="17"/>
      <c r="C23" s="17"/>
      <c r="D23" s="18" t="str">
        <f t="shared" si="0"/>
        <v/>
      </c>
      <c r="E23" s="8"/>
      <c r="F23" s="8"/>
    </row>
    <row r="24" spans="1:6" x14ac:dyDescent="0.3">
      <c r="A24" s="9"/>
      <c r="B24" s="17"/>
      <c r="C24" s="17"/>
      <c r="D24" s="18" t="str">
        <f t="shared" si="0"/>
        <v/>
      </c>
      <c r="E24" s="8"/>
      <c r="F24" s="8"/>
    </row>
    <row r="25" spans="1:6" x14ac:dyDescent="0.3">
      <c r="A25" s="9"/>
      <c r="B25" s="17"/>
      <c r="C25" s="17"/>
      <c r="D25" s="18" t="str">
        <f t="shared" si="0"/>
        <v/>
      </c>
      <c r="E25" s="8"/>
      <c r="F25" s="8"/>
    </row>
    <row r="26" spans="1:6" x14ac:dyDescent="0.3">
      <c r="A26" s="9"/>
      <c r="B26" s="17"/>
      <c r="C26" s="17"/>
      <c r="D26" s="18" t="str">
        <f t="shared" si="0"/>
        <v/>
      </c>
      <c r="E26" s="8"/>
      <c r="F26" s="8"/>
    </row>
    <row r="27" spans="1:6" x14ac:dyDescent="0.3">
      <c r="A27" s="9"/>
      <c r="B27" s="17"/>
      <c r="C27" s="17"/>
      <c r="D27" s="18" t="str">
        <f t="shared" si="0"/>
        <v/>
      </c>
      <c r="E27" s="8"/>
      <c r="F27" s="8"/>
    </row>
    <row r="28" spans="1:6" x14ac:dyDescent="0.3">
      <c r="A28" s="9"/>
      <c r="B28" s="17"/>
      <c r="C28" s="17"/>
      <c r="D28" s="18" t="str">
        <f t="shared" si="0"/>
        <v/>
      </c>
      <c r="E28" s="8"/>
      <c r="F28" s="8"/>
    </row>
    <row r="29" spans="1:6" x14ac:dyDescent="0.3">
      <c r="A29" s="9"/>
      <c r="B29" s="17"/>
      <c r="C29" s="17"/>
      <c r="D29" s="18" t="str">
        <f t="shared" si="0"/>
        <v/>
      </c>
      <c r="E29" s="8"/>
      <c r="F29" s="8"/>
    </row>
    <row r="30" spans="1:6" x14ac:dyDescent="0.3">
      <c r="A30" s="9"/>
      <c r="B30" s="17"/>
      <c r="C30" s="17"/>
      <c r="D30" s="18" t="str">
        <f t="shared" si="0"/>
        <v/>
      </c>
      <c r="E30" s="8"/>
      <c r="F30" s="8"/>
    </row>
    <row r="31" spans="1:6" x14ac:dyDescent="0.3">
      <c r="A31" s="9"/>
      <c r="B31" s="17"/>
      <c r="C31" s="17"/>
      <c r="D31" s="18" t="str">
        <f t="shared" si="0"/>
        <v/>
      </c>
      <c r="E31" s="8"/>
      <c r="F31" s="8"/>
    </row>
    <row r="32" spans="1:6" x14ac:dyDescent="0.3">
      <c r="A32" s="9"/>
      <c r="B32" s="17"/>
      <c r="C32" s="17"/>
      <c r="D32" s="18" t="str">
        <f t="shared" si="0"/>
        <v/>
      </c>
      <c r="E32" s="8"/>
      <c r="F32" s="8"/>
    </row>
    <row r="33" spans="1:6" x14ac:dyDescent="0.3">
      <c r="A33" s="9"/>
      <c r="B33" s="17"/>
      <c r="C33" s="17"/>
      <c r="D33" s="18" t="str">
        <f t="shared" si="0"/>
        <v/>
      </c>
      <c r="E33" s="8"/>
      <c r="F33" s="8"/>
    </row>
    <row r="34" spans="1:6" x14ac:dyDescent="0.3">
      <c r="A34" s="9"/>
      <c r="B34" s="17"/>
      <c r="C34" s="17"/>
      <c r="D34" s="18" t="str">
        <f t="shared" si="0"/>
        <v/>
      </c>
      <c r="E34" s="8"/>
      <c r="F34" s="8"/>
    </row>
    <row r="35" spans="1:6" x14ac:dyDescent="0.3">
      <c r="A35" s="9"/>
      <c r="B35" s="17"/>
      <c r="C35" s="17"/>
      <c r="D35" s="18" t="str">
        <f t="shared" si="0"/>
        <v/>
      </c>
      <c r="E35" s="8"/>
      <c r="F35" s="8"/>
    </row>
    <row r="36" spans="1:6" x14ac:dyDescent="0.3">
      <c r="A36" s="9"/>
      <c r="B36" s="17"/>
      <c r="C36" s="17"/>
      <c r="D36" s="18" t="str">
        <f t="shared" si="0"/>
        <v/>
      </c>
      <c r="E36" s="8"/>
      <c r="F36" s="8"/>
    </row>
    <row r="37" spans="1:6" x14ac:dyDescent="0.3">
      <c r="A37" s="9"/>
      <c r="B37" s="17"/>
      <c r="C37" s="17"/>
      <c r="D37" s="18" t="str">
        <f t="shared" ref="D37:D68" si="1">IF(OR(B37="",C37=""),"",B37-C37)</f>
        <v/>
      </c>
      <c r="E37" s="8"/>
      <c r="F37" s="8"/>
    </row>
    <row r="38" spans="1:6" x14ac:dyDescent="0.3">
      <c r="A38" s="9"/>
      <c r="B38" s="17"/>
      <c r="C38" s="17"/>
      <c r="D38" s="18" t="str">
        <f t="shared" si="1"/>
        <v/>
      </c>
      <c r="E38" s="8"/>
      <c r="F38" s="8"/>
    </row>
    <row r="39" spans="1:6" x14ac:dyDescent="0.3">
      <c r="A39" s="9"/>
      <c r="B39" s="17"/>
      <c r="C39" s="17"/>
      <c r="D39" s="18" t="str">
        <f t="shared" si="1"/>
        <v/>
      </c>
      <c r="E39" s="8"/>
      <c r="F39" s="8"/>
    </row>
    <row r="40" spans="1:6" x14ac:dyDescent="0.3">
      <c r="A40" s="9"/>
      <c r="B40" s="17"/>
      <c r="C40" s="17"/>
      <c r="D40" s="18" t="str">
        <f t="shared" si="1"/>
        <v/>
      </c>
      <c r="E40" s="8"/>
      <c r="F40" s="8"/>
    </row>
    <row r="41" spans="1:6" x14ac:dyDescent="0.3">
      <c r="A41" s="9"/>
      <c r="B41" s="17"/>
      <c r="C41" s="17"/>
      <c r="D41" s="18" t="str">
        <f t="shared" si="1"/>
        <v/>
      </c>
      <c r="E41" s="8"/>
      <c r="F41" s="8"/>
    </row>
    <row r="42" spans="1:6" x14ac:dyDescent="0.3">
      <c r="A42" s="9"/>
      <c r="B42" s="17"/>
      <c r="C42" s="17"/>
      <c r="D42" s="18" t="str">
        <f t="shared" si="1"/>
        <v/>
      </c>
      <c r="E42" s="8"/>
      <c r="F42" s="8"/>
    </row>
    <row r="43" spans="1:6" x14ac:dyDescent="0.3">
      <c r="A43" s="9"/>
      <c r="B43" s="17"/>
      <c r="C43" s="17"/>
      <c r="D43" s="18" t="str">
        <f t="shared" si="1"/>
        <v/>
      </c>
      <c r="E43" s="8"/>
      <c r="F43" s="8"/>
    </row>
    <row r="44" spans="1:6" x14ac:dyDescent="0.3">
      <c r="A44" s="9"/>
      <c r="B44" s="17"/>
      <c r="C44" s="17"/>
      <c r="D44" s="18" t="str">
        <f t="shared" si="1"/>
        <v/>
      </c>
      <c r="E44" s="8"/>
      <c r="F44" s="8"/>
    </row>
    <row r="45" spans="1:6" x14ac:dyDescent="0.3">
      <c r="A45" s="9"/>
      <c r="B45" s="17"/>
      <c r="C45" s="17"/>
      <c r="D45" s="18" t="str">
        <f t="shared" si="1"/>
        <v/>
      </c>
      <c r="E45" s="8"/>
      <c r="F45" s="8"/>
    </row>
    <row r="46" spans="1:6" x14ac:dyDescent="0.3">
      <c r="A46" s="9"/>
      <c r="B46" s="17"/>
      <c r="C46" s="17"/>
      <c r="D46" s="18" t="str">
        <f t="shared" si="1"/>
        <v/>
      </c>
      <c r="E46" s="8"/>
      <c r="F46" s="8"/>
    </row>
    <row r="47" spans="1:6" x14ac:dyDescent="0.3">
      <c r="A47" s="9"/>
      <c r="B47" s="17"/>
      <c r="C47" s="17"/>
      <c r="D47" s="18" t="str">
        <f t="shared" si="1"/>
        <v/>
      </c>
      <c r="E47" s="8"/>
      <c r="F47" s="8"/>
    </row>
    <row r="48" spans="1:6" x14ac:dyDescent="0.3">
      <c r="A48" s="9"/>
      <c r="B48" s="17"/>
      <c r="C48" s="17"/>
      <c r="D48" s="18" t="str">
        <f t="shared" si="1"/>
        <v/>
      </c>
      <c r="E48" s="8"/>
      <c r="F48" s="8"/>
    </row>
    <row r="49" spans="1:6" x14ac:dyDescent="0.3">
      <c r="A49" s="9"/>
      <c r="B49" s="17"/>
      <c r="C49" s="17"/>
      <c r="D49" s="18" t="str">
        <f t="shared" si="1"/>
        <v/>
      </c>
      <c r="E49" s="8"/>
      <c r="F49" s="8"/>
    </row>
    <row r="50" spans="1:6" x14ac:dyDescent="0.3">
      <c r="A50" s="9"/>
      <c r="B50" s="17"/>
      <c r="C50" s="17"/>
      <c r="D50" s="18" t="str">
        <f t="shared" si="1"/>
        <v/>
      </c>
      <c r="E50" s="8"/>
      <c r="F50" s="8"/>
    </row>
    <row r="51" spans="1:6" x14ac:dyDescent="0.3">
      <c r="A51" s="9"/>
      <c r="B51" s="17"/>
      <c r="C51" s="17"/>
      <c r="D51" s="18" t="str">
        <f t="shared" si="1"/>
        <v/>
      </c>
      <c r="E51" s="8"/>
      <c r="F51" s="8"/>
    </row>
    <row r="52" spans="1:6" x14ac:dyDescent="0.3">
      <c r="A52" s="9"/>
      <c r="B52" s="17"/>
      <c r="C52" s="17"/>
      <c r="D52" s="18" t="str">
        <f t="shared" si="1"/>
        <v/>
      </c>
      <c r="E52" s="8"/>
      <c r="F52" s="8"/>
    </row>
    <row r="53" spans="1:6" x14ac:dyDescent="0.3">
      <c r="A53" s="9"/>
      <c r="B53" s="17"/>
      <c r="C53" s="17"/>
      <c r="D53" s="18" t="str">
        <f t="shared" si="1"/>
        <v/>
      </c>
      <c r="E53" s="8"/>
      <c r="F53" s="8"/>
    </row>
    <row r="54" spans="1:6" x14ac:dyDescent="0.3">
      <c r="A54" s="9"/>
      <c r="B54" s="17"/>
      <c r="C54" s="17"/>
      <c r="D54" s="18" t="str">
        <f t="shared" si="1"/>
        <v/>
      </c>
      <c r="E54" s="8"/>
      <c r="F54" s="8"/>
    </row>
    <row r="55" spans="1:6" x14ac:dyDescent="0.3">
      <c r="A55" s="9"/>
      <c r="B55" s="17"/>
      <c r="C55" s="17"/>
      <c r="D55" s="18" t="str">
        <f t="shared" si="1"/>
        <v/>
      </c>
      <c r="E55" s="8"/>
      <c r="F55" s="8"/>
    </row>
    <row r="56" spans="1:6" x14ac:dyDescent="0.3">
      <c r="A56" s="9"/>
      <c r="B56" s="17"/>
      <c r="C56" s="17"/>
      <c r="D56" s="18" t="str">
        <f t="shared" si="1"/>
        <v/>
      </c>
      <c r="E56" s="8"/>
      <c r="F56" s="8"/>
    </row>
    <row r="57" spans="1:6" x14ac:dyDescent="0.3">
      <c r="A57" s="9"/>
      <c r="B57" s="17"/>
      <c r="C57" s="17"/>
      <c r="D57" s="18" t="str">
        <f t="shared" si="1"/>
        <v/>
      </c>
      <c r="E57" s="8"/>
      <c r="F57" s="8"/>
    </row>
    <row r="58" spans="1:6" x14ac:dyDescent="0.3">
      <c r="A58" s="9"/>
      <c r="B58" s="17"/>
      <c r="C58" s="17"/>
      <c r="D58" s="18" t="str">
        <f t="shared" si="1"/>
        <v/>
      </c>
      <c r="E58" s="8"/>
      <c r="F58" s="8"/>
    </row>
    <row r="59" spans="1:6" x14ac:dyDescent="0.3">
      <c r="A59" s="9"/>
      <c r="B59" s="17"/>
      <c r="C59" s="17"/>
      <c r="D59" s="18" t="str">
        <f t="shared" si="1"/>
        <v/>
      </c>
      <c r="E59" s="8"/>
      <c r="F59" s="8"/>
    </row>
    <row r="60" spans="1:6" x14ac:dyDescent="0.3">
      <c r="A60" s="9"/>
      <c r="B60" s="17"/>
      <c r="C60" s="17"/>
      <c r="D60" s="18" t="str">
        <f t="shared" si="1"/>
        <v/>
      </c>
      <c r="E60" s="8"/>
      <c r="F60" s="8"/>
    </row>
    <row r="61" spans="1:6" x14ac:dyDescent="0.3">
      <c r="A61" s="9"/>
      <c r="B61" s="17"/>
      <c r="C61" s="17"/>
      <c r="D61" s="18" t="str">
        <f t="shared" si="1"/>
        <v/>
      </c>
      <c r="E61" s="8"/>
      <c r="F61" s="8"/>
    </row>
    <row r="62" spans="1:6" x14ac:dyDescent="0.3">
      <c r="A62" s="9"/>
      <c r="B62" s="17"/>
      <c r="C62" s="17"/>
      <c r="D62" s="18" t="str">
        <f t="shared" si="1"/>
        <v/>
      </c>
      <c r="E62" s="8"/>
      <c r="F62" s="8"/>
    </row>
    <row r="63" spans="1:6" x14ac:dyDescent="0.3">
      <c r="A63" s="9"/>
      <c r="B63" s="17"/>
      <c r="C63" s="17"/>
      <c r="D63" s="18" t="str">
        <f t="shared" si="1"/>
        <v/>
      </c>
      <c r="E63" s="8"/>
      <c r="F63" s="8"/>
    </row>
    <row r="64" spans="1:6" x14ac:dyDescent="0.3">
      <c r="A64" s="9"/>
      <c r="B64" s="17"/>
      <c r="C64" s="17"/>
      <c r="D64" s="18" t="str">
        <f t="shared" si="1"/>
        <v/>
      </c>
      <c r="E64" s="8"/>
      <c r="F64" s="8"/>
    </row>
    <row r="65" spans="1:6" x14ac:dyDescent="0.3">
      <c r="A65" s="9"/>
      <c r="B65" s="17"/>
      <c r="C65" s="17"/>
      <c r="D65" s="18" t="str">
        <f t="shared" si="1"/>
        <v/>
      </c>
      <c r="E65" s="8"/>
      <c r="F65" s="8"/>
    </row>
    <row r="66" spans="1:6" x14ac:dyDescent="0.3">
      <c r="A66" s="9"/>
      <c r="B66" s="17"/>
      <c r="C66" s="17"/>
      <c r="D66" s="18" t="str">
        <f t="shared" si="1"/>
        <v/>
      </c>
      <c r="E66" s="8"/>
      <c r="F66" s="8"/>
    </row>
    <row r="67" spans="1:6" x14ac:dyDescent="0.3">
      <c r="A67" s="9"/>
      <c r="B67" s="17"/>
      <c r="C67" s="17"/>
      <c r="D67" s="18" t="str">
        <f t="shared" si="1"/>
        <v/>
      </c>
      <c r="E67" s="8"/>
      <c r="F67" s="8"/>
    </row>
    <row r="68" spans="1:6" x14ac:dyDescent="0.3">
      <c r="A68" s="9"/>
      <c r="B68" s="17"/>
      <c r="C68" s="17"/>
      <c r="D68" s="18" t="str">
        <f t="shared" si="1"/>
        <v/>
      </c>
      <c r="E68" s="8"/>
      <c r="F68" s="8"/>
    </row>
    <row r="69" spans="1:6" x14ac:dyDescent="0.3">
      <c r="A69" s="9"/>
      <c r="B69" s="17"/>
      <c r="C69" s="17"/>
      <c r="D69" s="18" t="str">
        <f t="shared" ref="D69:D100" si="2">IF(OR(B69="",C69=""),"",B69-C69)</f>
        <v/>
      </c>
      <c r="E69" s="8"/>
      <c r="F69" s="8"/>
    </row>
    <row r="70" spans="1:6" x14ac:dyDescent="0.3">
      <c r="A70" s="9"/>
      <c r="B70" s="17"/>
      <c r="C70" s="17"/>
      <c r="D70" s="18" t="str">
        <f t="shared" si="2"/>
        <v/>
      </c>
      <c r="E70" s="8"/>
      <c r="F70" s="8"/>
    </row>
    <row r="71" spans="1:6" x14ac:dyDescent="0.3">
      <c r="A71" s="9"/>
      <c r="B71" s="17"/>
      <c r="C71" s="17"/>
      <c r="D71" s="18" t="str">
        <f t="shared" si="2"/>
        <v/>
      </c>
      <c r="E71" s="8"/>
      <c r="F71" s="8"/>
    </row>
    <row r="72" spans="1:6" x14ac:dyDescent="0.3">
      <c r="A72" s="9"/>
      <c r="B72" s="17"/>
      <c r="C72" s="17"/>
      <c r="D72" s="18" t="str">
        <f t="shared" si="2"/>
        <v/>
      </c>
      <c r="E72" s="8"/>
      <c r="F72" s="8"/>
    </row>
    <row r="73" spans="1:6" x14ac:dyDescent="0.3">
      <c r="A73" s="9"/>
      <c r="B73" s="17"/>
      <c r="C73" s="17"/>
      <c r="D73" s="18" t="str">
        <f t="shared" si="2"/>
        <v/>
      </c>
      <c r="E73" s="8"/>
      <c r="F73" s="8"/>
    </row>
    <row r="74" spans="1:6" x14ac:dyDescent="0.3">
      <c r="A74" s="9"/>
      <c r="B74" s="17"/>
      <c r="C74" s="17"/>
      <c r="D74" s="18" t="str">
        <f t="shared" si="2"/>
        <v/>
      </c>
      <c r="E74" s="8"/>
      <c r="F74" s="8"/>
    </row>
    <row r="75" spans="1:6" x14ac:dyDescent="0.3">
      <c r="A75" s="9"/>
      <c r="B75" s="17"/>
      <c r="C75" s="17"/>
      <c r="D75" s="18" t="str">
        <f t="shared" si="2"/>
        <v/>
      </c>
      <c r="E75" s="8"/>
      <c r="F75" s="8"/>
    </row>
    <row r="76" spans="1:6" x14ac:dyDescent="0.3">
      <c r="A76" s="9"/>
      <c r="B76" s="17"/>
      <c r="C76" s="17"/>
      <c r="D76" s="18" t="str">
        <f t="shared" si="2"/>
        <v/>
      </c>
      <c r="E76" s="8"/>
      <c r="F76" s="8"/>
    </row>
    <row r="77" spans="1:6" x14ac:dyDescent="0.3">
      <c r="A77" s="9"/>
      <c r="B77" s="17"/>
      <c r="C77" s="17"/>
      <c r="D77" s="18" t="str">
        <f t="shared" si="2"/>
        <v/>
      </c>
      <c r="E77" s="8"/>
      <c r="F77" s="8"/>
    </row>
    <row r="78" spans="1:6" x14ac:dyDescent="0.3">
      <c r="A78" s="9"/>
      <c r="B78" s="17"/>
      <c r="C78" s="17"/>
      <c r="D78" s="18" t="str">
        <f t="shared" si="2"/>
        <v/>
      </c>
      <c r="E78" s="8"/>
      <c r="F78" s="8"/>
    </row>
    <row r="79" spans="1:6" x14ac:dyDescent="0.3">
      <c r="A79" s="9"/>
      <c r="B79" s="17"/>
      <c r="C79" s="17"/>
      <c r="D79" s="18" t="str">
        <f t="shared" si="2"/>
        <v/>
      </c>
      <c r="E79" s="8"/>
      <c r="F79" s="8"/>
    </row>
    <row r="80" spans="1:6" x14ac:dyDescent="0.3">
      <c r="A80" s="9"/>
      <c r="B80" s="17"/>
      <c r="C80" s="17"/>
      <c r="D80" s="18" t="str">
        <f t="shared" si="2"/>
        <v/>
      </c>
      <c r="E80" s="8"/>
      <c r="F80" s="8"/>
    </row>
    <row r="81" spans="1:6" x14ac:dyDescent="0.3">
      <c r="A81" s="9"/>
      <c r="B81" s="17"/>
      <c r="C81" s="17"/>
      <c r="D81" s="18" t="str">
        <f t="shared" si="2"/>
        <v/>
      </c>
      <c r="E81" s="8"/>
      <c r="F81" s="8"/>
    </row>
    <row r="82" spans="1:6" x14ac:dyDescent="0.3">
      <c r="A82" s="9"/>
      <c r="B82" s="17"/>
      <c r="C82" s="17"/>
      <c r="D82" s="18" t="str">
        <f t="shared" si="2"/>
        <v/>
      </c>
      <c r="E82" s="8"/>
      <c r="F82" s="8"/>
    </row>
    <row r="83" spans="1:6" x14ac:dyDescent="0.3">
      <c r="A83" s="9"/>
      <c r="B83" s="17"/>
      <c r="C83" s="17"/>
      <c r="D83" s="18" t="str">
        <f t="shared" si="2"/>
        <v/>
      </c>
      <c r="E83" s="8"/>
      <c r="F83" s="8"/>
    </row>
    <row r="84" spans="1:6" x14ac:dyDescent="0.3">
      <c r="A84" s="9"/>
      <c r="B84" s="17"/>
      <c r="C84" s="17"/>
      <c r="D84" s="18" t="str">
        <f t="shared" si="2"/>
        <v/>
      </c>
      <c r="E84" s="8"/>
      <c r="F84" s="8"/>
    </row>
    <row r="85" spans="1:6" x14ac:dyDescent="0.3">
      <c r="A85" s="9"/>
      <c r="B85" s="17"/>
      <c r="C85" s="17"/>
      <c r="D85" s="18" t="str">
        <f t="shared" si="2"/>
        <v/>
      </c>
      <c r="E85" s="8"/>
      <c r="F85" s="8"/>
    </row>
    <row r="86" spans="1:6" x14ac:dyDescent="0.3">
      <c r="A86" s="9"/>
      <c r="B86" s="17"/>
      <c r="C86" s="17"/>
      <c r="D86" s="18" t="str">
        <f t="shared" si="2"/>
        <v/>
      </c>
      <c r="E86" s="8"/>
      <c r="F86" s="8"/>
    </row>
    <row r="87" spans="1:6" x14ac:dyDescent="0.3">
      <c r="A87" s="9"/>
      <c r="B87" s="17"/>
      <c r="C87" s="17"/>
      <c r="D87" s="18" t="str">
        <f t="shared" si="2"/>
        <v/>
      </c>
      <c r="E87" s="8"/>
      <c r="F87" s="8"/>
    </row>
    <row r="88" spans="1:6" x14ac:dyDescent="0.3">
      <c r="A88" s="9"/>
      <c r="B88" s="17"/>
      <c r="C88" s="17"/>
      <c r="D88" s="18" t="str">
        <f t="shared" si="2"/>
        <v/>
      </c>
      <c r="E88" s="8"/>
      <c r="F88" s="8"/>
    </row>
    <row r="89" spans="1:6" x14ac:dyDescent="0.3">
      <c r="A89" s="9"/>
      <c r="B89" s="17"/>
      <c r="C89" s="17"/>
      <c r="D89" s="18" t="str">
        <f t="shared" si="2"/>
        <v/>
      </c>
      <c r="E89" s="8"/>
      <c r="F89" s="8"/>
    </row>
    <row r="90" spans="1:6" x14ac:dyDescent="0.3">
      <c r="A90" s="9"/>
      <c r="B90" s="17"/>
      <c r="C90" s="17"/>
      <c r="D90" s="18" t="str">
        <f t="shared" si="2"/>
        <v/>
      </c>
      <c r="E90" s="8"/>
      <c r="F90" s="8"/>
    </row>
    <row r="91" spans="1:6" x14ac:dyDescent="0.3">
      <c r="A91" s="9"/>
      <c r="B91" s="17"/>
      <c r="C91" s="17"/>
      <c r="D91" s="18" t="str">
        <f t="shared" si="2"/>
        <v/>
      </c>
      <c r="E91" s="8"/>
      <c r="F91" s="8"/>
    </row>
    <row r="92" spans="1:6" x14ac:dyDescent="0.3">
      <c r="A92" s="9"/>
      <c r="B92" s="17"/>
      <c r="C92" s="17"/>
      <c r="D92" s="18" t="str">
        <f t="shared" si="2"/>
        <v/>
      </c>
      <c r="E92" s="8"/>
      <c r="F92" s="8"/>
    </row>
    <row r="93" spans="1:6" x14ac:dyDescent="0.3">
      <c r="A93" s="9"/>
      <c r="B93" s="17"/>
      <c r="C93" s="17"/>
      <c r="D93" s="18" t="str">
        <f t="shared" si="2"/>
        <v/>
      </c>
      <c r="E93" s="8"/>
      <c r="F93" s="8"/>
    </row>
    <row r="94" spans="1:6" x14ac:dyDescent="0.3">
      <c r="A94" s="9"/>
      <c r="B94" s="17"/>
      <c r="C94" s="17"/>
      <c r="D94" s="18" t="str">
        <f t="shared" si="2"/>
        <v/>
      </c>
      <c r="E94" s="8"/>
      <c r="F94" s="8"/>
    </row>
    <row r="95" spans="1:6" x14ac:dyDescent="0.3">
      <c r="A95" s="9"/>
      <c r="B95" s="17"/>
      <c r="C95" s="17"/>
      <c r="D95" s="18" t="str">
        <f t="shared" si="2"/>
        <v/>
      </c>
      <c r="E95" s="8"/>
      <c r="F95" s="8"/>
    </row>
    <row r="96" spans="1:6" x14ac:dyDescent="0.3">
      <c r="A96" s="9"/>
      <c r="B96" s="17"/>
      <c r="C96" s="17"/>
      <c r="D96" s="18" t="str">
        <f t="shared" si="2"/>
        <v/>
      </c>
      <c r="E96" s="8"/>
      <c r="F96" s="8"/>
    </row>
    <row r="97" spans="1:6" x14ac:dyDescent="0.3">
      <c r="A97" s="9"/>
      <c r="B97" s="17"/>
      <c r="C97" s="17"/>
      <c r="D97" s="18" t="str">
        <f t="shared" si="2"/>
        <v/>
      </c>
      <c r="E97" s="8"/>
      <c r="F97" s="8"/>
    </row>
    <row r="98" spans="1:6" x14ac:dyDescent="0.3">
      <c r="A98" s="9"/>
      <c r="B98" s="17"/>
      <c r="C98" s="17"/>
      <c r="D98" s="18" t="str">
        <f t="shared" si="2"/>
        <v/>
      </c>
      <c r="E98" s="8"/>
      <c r="F98" s="8"/>
    </row>
    <row r="99" spans="1:6" x14ac:dyDescent="0.3">
      <c r="A99" s="9"/>
      <c r="B99" s="17"/>
      <c r="C99" s="17"/>
      <c r="D99" s="18" t="str">
        <f t="shared" si="2"/>
        <v/>
      </c>
      <c r="E99" s="8"/>
      <c r="F99" s="8"/>
    </row>
    <row r="100" spans="1:6" x14ac:dyDescent="0.3">
      <c r="A100" s="9"/>
      <c r="B100" s="17"/>
      <c r="C100" s="17"/>
      <c r="D100" s="18" t="str">
        <f t="shared" si="2"/>
        <v/>
      </c>
      <c r="E100" s="8"/>
      <c r="F100" s="8"/>
    </row>
    <row r="101" spans="1:6" x14ac:dyDescent="0.3">
      <c r="A101" s="9"/>
      <c r="B101" s="17"/>
      <c r="C101" s="17"/>
      <c r="D101" s="18" t="str">
        <f t="shared" ref="D101:D132" si="3">IF(OR(B101="",C101=""),"",B101-C101)</f>
        <v/>
      </c>
      <c r="E101" s="8"/>
      <c r="F101" s="8"/>
    </row>
    <row r="102" spans="1:6" x14ac:dyDescent="0.3">
      <c r="A102" s="9"/>
      <c r="B102" s="17"/>
      <c r="C102" s="17"/>
      <c r="D102" s="18" t="str">
        <f t="shared" si="3"/>
        <v/>
      </c>
      <c r="E102" s="8"/>
      <c r="F102" s="8"/>
    </row>
    <row r="103" spans="1:6" x14ac:dyDescent="0.3">
      <c r="A103" s="9"/>
      <c r="B103" s="17"/>
      <c r="C103" s="17"/>
      <c r="D103" s="18" t="str">
        <f t="shared" si="3"/>
        <v/>
      </c>
      <c r="E103" s="8"/>
      <c r="F103" s="8"/>
    </row>
    <row r="104" spans="1:6" x14ac:dyDescent="0.3">
      <c r="A104" s="9"/>
      <c r="B104" s="17"/>
      <c r="C104" s="17"/>
      <c r="D104" s="18" t="str">
        <f t="shared" si="3"/>
        <v/>
      </c>
      <c r="E104" s="8"/>
      <c r="F104" s="8"/>
    </row>
    <row r="105" spans="1:6" x14ac:dyDescent="0.3">
      <c r="A105" s="9"/>
      <c r="B105" s="17"/>
      <c r="C105" s="17"/>
      <c r="D105" s="18" t="str">
        <f t="shared" si="3"/>
        <v/>
      </c>
      <c r="E105" s="8"/>
      <c r="F105" s="8"/>
    </row>
    <row r="106" spans="1:6" x14ac:dyDescent="0.3">
      <c r="A106" s="9"/>
      <c r="B106" s="17"/>
      <c r="C106" s="17"/>
      <c r="D106" s="18" t="str">
        <f t="shared" si="3"/>
        <v/>
      </c>
      <c r="E106" s="8"/>
      <c r="F106" s="8"/>
    </row>
    <row r="107" spans="1:6" x14ac:dyDescent="0.3">
      <c r="A107" s="9"/>
      <c r="B107" s="17"/>
      <c r="C107" s="17"/>
      <c r="D107" s="18" t="str">
        <f t="shared" si="3"/>
        <v/>
      </c>
      <c r="E107" s="8"/>
      <c r="F107" s="8"/>
    </row>
    <row r="108" spans="1:6" x14ac:dyDescent="0.3">
      <c r="A108" s="9"/>
      <c r="B108" s="17"/>
      <c r="C108" s="17"/>
      <c r="D108" s="18" t="str">
        <f t="shared" si="3"/>
        <v/>
      </c>
      <c r="E108" s="8"/>
      <c r="F108" s="8"/>
    </row>
    <row r="109" spans="1:6" x14ac:dyDescent="0.3">
      <c r="A109" s="9"/>
      <c r="B109" s="17"/>
      <c r="C109" s="17"/>
      <c r="D109" s="18" t="str">
        <f t="shared" si="3"/>
        <v/>
      </c>
      <c r="E109" s="8"/>
      <c r="F109" s="8"/>
    </row>
    <row r="110" spans="1:6" x14ac:dyDescent="0.3">
      <c r="A110" s="9"/>
      <c r="B110" s="17"/>
      <c r="C110" s="17"/>
      <c r="D110" s="18" t="str">
        <f t="shared" si="3"/>
        <v/>
      </c>
      <c r="E110" s="8"/>
      <c r="F110" s="8"/>
    </row>
    <row r="111" spans="1:6" x14ac:dyDescent="0.3">
      <c r="A111" s="9"/>
      <c r="B111" s="17"/>
      <c r="C111" s="17"/>
      <c r="D111" s="18" t="str">
        <f t="shared" si="3"/>
        <v/>
      </c>
      <c r="E111" s="8"/>
      <c r="F111" s="8"/>
    </row>
    <row r="112" spans="1:6" x14ac:dyDescent="0.3">
      <c r="A112" s="9"/>
      <c r="B112" s="17"/>
      <c r="C112" s="17"/>
      <c r="D112" s="18" t="str">
        <f t="shared" si="3"/>
        <v/>
      </c>
      <c r="E112" s="8"/>
      <c r="F112" s="8"/>
    </row>
    <row r="113" spans="1:6" x14ac:dyDescent="0.3">
      <c r="A113" s="9"/>
      <c r="B113" s="17"/>
      <c r="C113" s="17"/>
      <c r="D113" s="18" t="str">
        <f t="shared" si="3"/>
        <v/>
      </c>
      <c r="E113" s="8"/>
      <c r="F113" s="8"/>
    </row>
    <row r="114" spans="1:6" x14ac:dyDescent="0.3">
      <c r="A114" s="9"/>
      <c r="B114" s="17"/>
      <c r="C114" s="17"/>
      <c r="D114" s="18" t="str">
        <f t="shared" si="3"/>
        <v/>
      </c>
      <c r="E114" s="8"/>
      <c r="F114" s="8"/>
    </row>
    <row r="115" spans="1:6" x14ac:dyDescent="0.3">
      <c r="A115" s="9"/>
      <c r="B115" s="17"/>
      <c r="C115" s="17"/>
      <c r="D115" s="18" t="str">
        <f t="shared" si="3"/>
        <v/>
      </c>
      <c r="E115" s="8"/>
      <c r="F115" s="8"/>
    </row>
    <row r="116" spans="1:6" x14ac:dyDescent="0.3">
      <c r="A116" s="9"/>
      <c r="B116" s="17"/>
      <c r="C116" s="17"/>
      <c r="D116" s="18" t="str">
        <f t="shared" si="3"/>
        <v/>
      </c>
      <c r="E116" s="8"/>
      <c r="F116" s="8"/>
    </row>
    <row r="117" spans="1:6" x14ac:dyDescent="0.3">
      <c r="A117" s="9"/>
      <c r="B117" s="17"/>
      <c r="C117" s="17"/>
      <c r="D117" s="18" t="str">
        <f t="shared" si="3"/>
        <v/>
      </c>
      <c r="E117" s="8"/>
      <c r="F117" s="8"/>
    </row>
    <row r="118" spans="1:6" x14ac:dyDescent="0.3">
      <c r="A118" s="9"/>
      <c r="B118" s="17"/>
      <c r="C118" s="17"/>
      <c r="D118" s="18" t="str">
        <f t="shared" si="3"/>
        <v/>
      </c>
      <c r="E118" s="8"/>
      <c r="F118" s="8"/>
    </row>
    <row r="119" spans="1:6" x14ac:dyDescent="0.3">
      <c r="A119" s="9"/>
      <c r="B119" s="17"/>
      <c r="C119" s="17"/>
      <c r="D119" s="18" t="str">
        <f t="shared" si="3"/>
        <v/>
      </c>
      <c r="E119" s="8"/>
      <c r="F119" s="8"/>
    </row>
    <row r="120" spans="1:6" x14ac:dyDescent="0.3">
      <c r="A120" s="9"/>
      <c r="B120" s="17"/>
      <c r="C120" s="17"/>
      <c r="D120" s="18" t="str">
        <f t="shared" si="3"/>
        <v/>
      </c>
      <c r="E120" s="8"/>
      <c r="F120" s="8"/>
    </row>
    <row r="121" spans="1:6" x14ac:dyDescent="0.3">
      <c r="A121" s="9"/>
      <c r="B121" s="17"/>
      <c r="C121" s="17"/>
      <c r="D121" s="18" t="str">
        <f t="shared" si="3"/>
        <v/>
      </c>
      <c r="E121" s="8"/>
      <c r="F121" s="8"/>
    </row>
    <row r="122" spans="1:6" x14ac:dyDescent="0.3">
      <c r="A122" s="9"/>
      <c r="B122" s="17"/>
      <c r="C122" s="17"/>
      <c r="D122" s="18" t="str">
        <f t="shared" si="3"/>
        <v/>
      </c>
      <c r="E122" s="8"/>
      <c r="F122" s="8"/>
    </row>
    <row r="123" spans="1:6" x14ac:dyDescent="0.3">
      <c r="A123" s="9"/>
      <c r="B123" s="17"/>
      <c r="C123" s="17"/>
      <c r="D123" s="18" t="str">
        <f t="shared" si="3"/>
        <v/>
      </c>
      <c r="E123" s="8"/>
      <c r="F123" s="8"/>
    </row>
    <row r="124" spans="1:6" x14ac:dyDescent="0.3">
      <c r="A124" s="9"/>
      <c r="B124" s="17"/>
      <c r="C124" s="17"/>
      <c r="D124" s="18" t="str">
        <f t="shared" si="3"/>
        <v/>
      </c>
      <c r="E124" s="8"/>
      <c r="F124" s="8"/>
    </row>
    <row r="125" spans="1:6" x14ac:dyDescent="0.3">
      <c r="A125" s="9"/>
      <c r="B125" s="17"/>
      <c r="C125" s="17"/>
      <c r="D125" s="18" t="str">
        <f t="shared" si="3"/>
        <v/>
      </c>
      <c r="E125" s="8"/>
      <c r="F125" s="8"/>
    </row>
    <row r="126" spans="1:6" x14ac:dyDescent="0.3">
      <c r="A126" s="9"/>
      <c r="B126" s="17"/>
      <c r="C126" s="17"/>
      <c r="D126" s="18" t="str">
        <f t="shared" si="3"/>
        <v/>
      </c>
      <c r="E126" s="8"/>
      <c r="F126" s="8"/>
    </row>
    <row r="127" spans="1:6" x14ac:dyDescent="0.3">
      <c r="A127" s="9"/>
      <c r="B127" s="17"/>
      <c r="C127" s="17"/>
      <c r="D127" s="18" t="str">
        <f t="shared" si="3"/>
        <v/>
      </c>
      <c r="E127" s="8"/>
      <c r="F127" s="8"/>
    </row>
    <row r="128" spans="1:6" x14ac:dyDescent="0.3">
      <c r="A128" s="9"/>
      <c r="B128" s="17"/>
      <c r="C128" s="17"/>
      <c r="D128" s="18" t="str">
        <f t="shared" si="3"/>
        <v/>
      </c>
      <c r="E128" s="8"/>
      <c r="F128" s="8"/>
    </row>
    <row r="129" spans="1:6" x14ac:dyDescent="0.3">
      <c r="A129" s="9"/>
      <c r="B129" s="17"/>
      <c r="C129" s="17"/>
      <c r="D129" s="18" t="str">
        <f t="shared" si="3"/>
        <v/>
      </c>
      <c r="E129" s="8"/>
      <c r="F129" s="8"/>
    </row>
    <row r="130" spans="1:6" x14ac:dyDescent="0.3">
      <c r="A130" s="9"/>
      <c r="B130" s="17"/>
      <c r="C130" s="17"/>
      <c r="D130" s="18" t="str">
        <f t="shared" si="3"/>
        <v/>
      </c>
      <c r="E130" s="8"/>
      <c r="F130" s="8"/>
    </row>
    <row r="131" spans="1:6" x14ac:dyDescent="0.3">
      <c r="A131" s="9"/>
      <c r="B131" s="17"/>
      <c r="C131" s="17"/>
      <c r="D131" s="18" t="str">
        <f t="shared" si="3"/>
        <v/>
      </c>
      <c r="E131" s="8"/>
      <c r="F131" s="8"/>
    </row>
    <row r="132" spans="1:6" x14ac:dyDescent="0.3">
      <c r="A132" s="9"/>
      <c r="B132" s="17"/>
      <c r="C132" s="17"/>
      <c r="D132" s="18" t="str">
        <f t="shared" si="3"/>
        <v/>
      </c>
      <c r="E132" s="8"/>
      <c r="F132" s="8"/>
    </row>
    <row r="133" spans="1:6" x14ac:dyDescent="0.3">
      <c r="A133" s="9"/>
      <c r="B133" s="17"/>
      <c r="C133" s="17"/>
      <c r="D133" s="18" t="str">
        <f t="shared" ref="D133:D164" si="4">IF(OR(B133="",C133=""),"",B133-C133)</f>
        <v/>
      </c>
      <c r="E133" s="8"/>
      <c r="F133" s="8"/>
    </row>
    <row r="134" spans="1:6" x14ac:dyDescent="0.3">
      <c r="A134" s="9"/>
      <c r="B134" s="17"/>
      <c r="C134" s="17"/>
      <c r="D134" s="18" t="str">
        <f t="shared" si="4"/>
        <v/>
      </c>
      <c r="E134" s="8"/>
      <c r="F134" s="8"/>
    </row>
    <row r="135" spans="1:6" x14ac:dyDescent="0.3">
      <c r="A135" s="9"/>
      <c r="B135" s="17"/>
      <c r="C135" s="17"/>
      <c r="D135" s="18" t="str">
        <f t="shared" si="4"/>
        <v/>
      </c>
      <c r="E135" s="8"/>
      <c r="F135" s="8"/>
    </row>
    <row r="136" spans="1:6" x14ac:dyDescent="0.3">
      <c r="A136" s="9"/>
      <c r="B136" s="17"/>
      <c r="C136" s="17"/>
      <c r="D136" s="18" t="str">
        <f t="shared" si="4"/>
        <v/>
      </c>
      <c r="E136" s="8"/>
      <c r="F136" s="8"/>
    </row>
    <row r="137" spans="1:6" x14ac:dyDescent="0.3">
      <c r="A137" s="9"/>
      <c r="B137" s="17"/>
      <c r="C137" s="17"/>
      <c r="D137" s="18" t="str">
        <f t="shared" si="4"/>
        <v/>
      </c>
      <c r="E137" s="8"/>
      <c r="F137" s="8"/>
    </row>
    <row r="138" spans="1:6" x14ac:dyDescent="0.3">
      <c r="A138" s="9"/>
      <c r="B138" s="17"/>
      <c r="C138" s="17"/>
      <c r="D138" s="18" t="str">
        <f t="shared" si="4"/>
        <v/>
      </c>
      <c r="E138" s="8"/>
      <c r="F138" s="8"/>
    </row>
    <row r="139" spans="1:6" x14ac:dyDescent="0.3">
      <c r="A139" s="9"/>
      <c r="B139" s="17"/>
      <c r="C139" s="17"/>
      <c r="D139" s="18" t="str">
        <f t="shared" si="4"/>
        <v/>
      </c>
      <c r="E139" s="8"/>
      <c r="F139" s="8"/>
    </row>
    <row r="140" spans="1:6" x14ac:dyDescent="0.3">
      <c r="A140" s="9"/>
      <c r="B140" s="17"/>
      <c r="C140" s="17"/>
      <c r="D140" s="18" t="str">
        <f t="shared" si="4"/>
        <v/>
      </c>
      <c r="E140" s="8"/>
      <c r="F140" s="8"/>
    </row>
    <row r="141" spans="1:6" x14ac:dyDescent="0.3">
      <c r="A141" s="9"/>
      <c r="B141" s="17"/>
      <c r="C141" s="17"/>
      <c r="D141" s="18" t="str">
        <f t="shared" si="4"/>
        <v/>
      </c>
      <c r="E141" s="8"/>
      <c r="F141" s="8"/>
    </row>
    <row r="142" spans="1:6" x14ac:dyDescent="0.3">
      <c r="A142" s="9"/>
      <c r="B142" s="17"/>
      <c r="C142" s="17"/>
      <c r="D142" s="18" t="str">
        <f t="shared" si="4"/>
        <v/>
      </c>
      <c r="E142" s="8"/>
      <c r="F142" s="8"/>
    </row>
    <row r="143" spans="1:6" x14ac:dyDescent="0.3">
      <c r="A143" s="9"/>
      <c r="B143" s="17"/>
      <c r="C143" s="17"/>
      <c r="D143" s="18" t="str">
        <f t="shared" si="4"/>
        <v/>
      </c>
      <c r="E143" s="8"/>
      <c r="F143" s="8"/>
    </row>
    <row r="144" spans="1:6" x14ac:dyDescent="0.3">
      <c r="A144" s="9"/>
      <c r="B144" s="17"/>
      <c r="C144" s="17"/>
      <c r="D144" s="18" t="str">
        <f t="shared" si="4"/>
        <v/>
      </c>
      <c r="E144" s="8"/>
      <c r="F144" s="8"/>
    </row>
    <row r="145" spans="1:6" x14ac:dyDescent="0.3">
      <c r="A145" s="9"/>
      <c r="B145" s="17"/>
      <c r="C145" s="17"/>
      <c r="D145" s="18" t="str">
        <f t="shared" si="4"/>
        <v/>
      </c>
      <c r="E145" s="8"/>
      <c r="F145" s="8"/>
    </row>
    <row r="146" spans="1:6" x14ac:dyDescent="0.3">
      <c r="A146" s="9"/>
      <c r="B146" s="17"/>
      <c r="C146" s="17"/>
      <c r="D146" s="18" t="str">
        <f t="shared" si="4"/>
        <v/>
      </c>
      <c r="E146" s="8"/>
      <c r="F146" s="8"/>
    </row>
    <row r="147" spans="1:6" x14ac:dyDescent="0.3">
      <c r="A147" s="9"/>
      <c r="B147" s="17"/>
      <c r="C147" s="17"/>
      <c r="D147" s="18" t="str">
        <f t="shared" si="4"/>
        <v/>
      </c>
      <c r="E147" s="8"/>
      <c r="F147" s="8"/>
    </row>
    <row r="148" spans="1:6" x14ac:dyDescent="0.3">
      <c r="A148" s="9"/>
      <c r="B148" s="17"/>
      <c r="C148" s="17"/>
      <c r="D148" s="18" t="str">
        <f t="shared" si="4"/>
        <v/>
      </c>
      <c r="E148" s="8"/>
      <c r="F148" s="8"/>
    </row>
    <row r="149" spans="1:6" x14ac:dyDescent="0.3">
      <c r="A149" s="9"/>
      <c r="B149" s="17"/>
      <c r="C149" s="17"/>
      <c r="D149" s="18" t="str">
        <f t="shared" si="4"/>
        <v/>
      </c>
      <c r="E149" s="8"/>
      <c r="F149" s="8"/>
    </row>
    <row r="150" spans="1:6" x14ac:dyDescent="0.3">
      <c r="A150" s="9"/>
      <c r="B150" s="17"/>
      <c r="C150" s="17"/>
      <c r="D150" s="18" t="str">
        <f t="shared" si="4"/>
        <v/>
      </c>
      <c r="E150" s="8"/>
      <c r="F150" s="8"/>
    </row>
    <row r="151" spans="1:6" x14ac:dyDescent="0.3">
      <c r="A151" s="9"/>
      <c r="B151" s="17"/>
      <c r="C151" s="17"/>
      <c r="D151" s="18" t="str">
        <f t="shared" si="4"/>
        <v/>
      </c>
      <c r="E151" s="8"/>
      <c r="F151" s="8"/>
    </row>
    <row r="152" spans="1:6" x14ac:dyDescent="0.3">
      <c r="A152" s="9"/>
      <c r="B152" s="17"/>
      <c r="C152" s="17"/>
      <c r="D152" s="18" t="str">
        <f t="shared" si="4"/>
        <v/>
      </c>
      <c r="E152" s="8"/>
      <c r="F152" s="8"/>
    </row>
    <row r="153" spans="1:6" x14ac:dyDescent="0.3">
      <c r="A153" s="9"/>
      <c r="B153" s="17"/>
      <c r="C153" s="17"/>
      <c r="D153" s="18" t="str">
        <f t="shared" si="4"/>
        <v/>
      </c>
      <c r="E153" s="8"/>
      <c r="F153" s="8"/>
    </row>
    <row r="154" spans="1:6" x14ac:dyDescent="0.3">
      <c r="A154" s="9"/>
      <c r="B154" s="17"/>
      <c r="C154" s="17"/>
      <c r="D154" s="18" t="str">
        <f t="shared" si="4"/>
        <v/>
      </c>
      <c r="E154" s="8"/>
      <c r="F154" s="8"/>
    </row>
    <row r="155" spans="1:6" x14ac:dyDescent="0.3">
      <c r="A155" s="9"/>
      <c r="B155" s="17"/>
      <c r="C155" s="17"/>
      <c r="D155" s="18" t="str">
        <f t="shared" si="4"/>
        <v/>
      </c>
      <c r="E155" s="8"/>
      <c r="F155" s="8"/>
    </row>
    <row r="156" spans="1:6" x14ac:dyDescent="0.3">
      <c r="A156" s="9"/>
      <c r="B156" s="17"/>
      <c r="C156" s="17"/>
      <c r="D156" s="18" t="str">
        <f t="shared" si="4"/>
        <v/>
      </c>
      <c r="E156" s="8"/>
      <c r="F156" s="8"/>
    </row>
    <row r="157" spans="1:6" x14ac:dyDescent="0.3">
      <c r="A157" s="9"/>
      <c r="B157" s="17"/>
      <c r="C157" s="17"/>
      <c r="D157" s="18" t="str">
        <f t="shared" si="4"/>
        <v/>
      </c>
      <c r="E157" s="8"/>
      <c r="F157" s="8"/>
    </row>
    <row r="158" spans="1:6" x14ac:dyDescent="0.3">
      <c r="A158" s="9"/>
      <c r="B158" s="17"/>
      <c r="C158" s="17"/>
      <c r="D158" s="18" t="str">
        <f t="shared" si="4"/>
        <v/>
      </c>
      <c r="E158" s="8"/>
      <c r="F158" s="8"/>
    </row>
    <row r="159" spans="1:6" x14ac:dyDescent="0.3">
      <c r="A159" s="9"/>
      <c r="B159" s="17"/>
      <c r="C159" s="17"/>
      <c r="D159" s="18" t="str">
        <f t="shared" si="4"/>
        <v/>
      </c>
      <c r="E159" s="8"/>
      <c r="F159" s="8"/>
    </row>
    <row r="160" spans="1:6" x14ac:dyDescent="0.3">
      <c r="A160" s="9"/>
      <c r="B160" s="17"/>
      <c r="C160" s="17"/>
      <c r="D160" s="18" t="str">
        <f t="shared" si="4"/>
        <v/>
      </c>
      <c r="E160" s="8"/>
      <c r="F160" s="8"/>
    </row>
    <row r="161" spans="1:6" x14ac:dyDescent="0.3">
      <c r="A161" s="9"/>
      <c r="B161" s="17"/>
      <c r="C161" s="17"/>
      <c r="D161" s="18" t="str">
        <f t="shared" si="4"/>
        <v/>
      </c>
      <c r="E161" s="8"/>
      <c r="F161" s="8"/>
    </row>
    <row r="162" spans="1:6" x14ac:dyDescent="0.3">
      <c r="A162" s="9"/>
      <c r="B162" s="17"/>
      <c r="C162" s="17"/>
      <c r="D162" s="18" t="str">
        <f t="shared" si="4"/>
        <v/>
      </c>
      <c r="E162" s="8"/>
      <c r="F162" s="8"/>
    </row>
    <row r="163" spans="1:6" x14ac:dyDescent="0.3">
      <c r="A163" s="9"/>
      <c r="B163" s="17"/>
      <c r="C163" s="17"/>
      <c r="D163" s="18" t="str">
        <f t="shared" si="4"/>
        <v/>
      </c>
      <c r="E163" s="8"/>
      <c r="F163" s="8"/>
    </row>
    <row r="164" spans="1:6" x14ac:dyDescent="0.3">
      <c r="A164" s="9"/>
      <c r="B164" s="17"/>
      <c r="C164" s="17"/>
      <c r="D164" s="18" t="str">
        <f t="shared" si="4"/>
        <v/>
      </c>
      <c r="E164" s="8"/>
      <c r="F164" s="8"/>
    </row>
    <row r="165" spans="1:6" x14ac:dyDescent="0.3">
      <c r="A165" s="9"/>
      <c r="B165" s="17"/>
      <c r="C165" s="17"/>
      <c r="D165" s="18" t="str">
        <f t="shared" ref="D165:D196" si="5">IF(OR(B165="",C165=""),"",B165-C165)</f>
        <v/>
      </c>
      <c r="E165" s="8"/>
      <c r="F165" s="8"/>
    </row>
    <row r="166" spans="1:6" x14ac:dyDescent="0.3">
      <c r="A166" s="9"/>
      <c r="B166" s="17"/>
      <c r="C166" s="17"/>
      <c r="D166" s="18" t="str">
        <f t="shared" si="5"/>
        <v/>
      </c>
      <c r="E166" s="8"/>
      <c r="F166" s="8"/>
    </row>
    <row r="167" spans="1:6" x14ac:dyDescent="0.3">
      <c r="A167" s="9"/>
      <c r="B167" s="17"/>
      <c r="C167" s="17"/>
      <c r="D167" s="18" t="str">
        <f t="shared" si="5"/>
        <v/>
      </c>
      <c r="E167" s="8"/>
      <c r="F167" s="8"/>
    </row>
    <row r="168" spans="1:6" x14ac:dyDescent="0.3">
      <c r="A168" s="9"/>
      <c r="B168" s="17"/>
      <c r="C168" s="17"/>
      <c r="D168" s="18" t="str">
        <f t="shared" si="5"/>
        <v/>
      </c>
      <c r="E168" s="8"/>
      <c r="F168" s="8"/>
    </row>
    <row r="169" spans="1:6" x14ac:dyDescent="0.3">
      <c r="A169" s="9"/>
      <c r="B169" s="17"/>
      <c r="C169" s="17"/>
      <c r="D169" s="18" t="str">
        <f t="shared" si="5"/>
        <v/>
      </c>
      <c r="E169" s="8"/>
      <c r="F169" s="8"/>
    </row>
    <row r="170" spans="1:6" x14ac:dyDescent="0.3">
      <c r="A170" s="9"/>
      <c r="B170" s="17"/>
      <c r="C170" s="17"/>
      <c r="D170" s="18" t="str">
        <f t="shared" si="5"/>
        <v/>
      </c>
      <c r="E170" s="8"/>
      <c r="F170" s="8"/>
    </row>
    <row r="171" spans="1:6" x14ac:dyDescent="0.3">
      <c r="A171" s="9"/>
      <c r="B171" s="17"/>
      <c r="C171" s="17"/>
      <c r="D171" s="18" t="str">
        <f t="shared" si="5"/>
        <v/>
      </c>
      <c r="E171" s="8"/>
      <c r="F171" s="8"/>
    </row>
    <row r="172" spans="1:6" x14ac:dyDescent="0.3">
      <c r="A172" s="9"/>
      <c r="B172" s="17"/>
      <c r="C172" s="17"/>
      <c r="D172" s="18" t="str">
        <f t="shared" si="5"/>
        <v/>
      </c>
      <c r="E172" s="8"/>
      <c r="F172" s="8"/>
    </row>
    <row r="173" spans="1:6" x14ac:dyDescent="0.3">
      <c r="A173" s="9"/>
      <c r="B173" s="17"/>
      <c r="C173" s="17"/>
      <c r="D173" s="18" t="str">
        <f t="shared" si="5"/>
        <v/>
      </c>
      <c r="E173" s="8"/>
      <c r="F173" s="8"/>
    </row>
    <row r="174" spans="1:6" x14ac:dyDescent="0.3">
      <c r="A174" s="9"/>
      <c r="B174" s="17"/>
      <c r="C174" s="17"/>
      <c r="D174" s="18" t="str">
        <f t="shared" si="5"/>
        <v/>
      </c>
      <c r="E174" s="8"/>
      <c r="F174" s="8"/>
    </row>
    <row r="175" spans="1:6" x14ac:dyDescent="0.3">
      <c r="A175" s="9"/>
      <c r="B175" s="17"/>
      <c r="C175" s="17"/>
      <c r="D175" s="18" t="str">
        <f t="shared" si="5"/>
        <v/>
      </c>
      <c r="E175" s="8"/>
      <c r="F175" s="8"/>
    </row>
    <row r="176" spans="1:6" x14ac:dyDescent="0.3">
      <c r="A176" s="9"/>
      <c r="B176" s="17"/>
      <c r="C176" s="17"/>
      <c r="D176" s="18" t="str">
        <f t="shared" si="5"/>
        <v/>
      </c>
      <c r="E176" s="8"/>
      <c r="F176" s="8"/>
    </row>
    <row r="177" spans="1:6" x14ac:dyDescent="0.3">
      <c r="A177" s="9"/>
      <c r="B177" s="17"/>
      <c r="C177" s="17"/>
      <c r="D177" s="18" t="str">
        <f t="shared" si="5"/>
        <v/>
      </c>
      <c r="E177" s="8"/>
      <c r="F177" s="8"/>
    </row>
    <row r="178" spans="1:6" x14ac:dyDescent="0.3">
      <c r="A178" s="9"/>
      <c r="B178" s="17"/>
      <c r="C178" s="17"/>
      <c r="D178" s="18" t="str">
        <f t="shared" si="5"/>
        <v/>
      </c>
      <c r="E178" s="8"/>
      <c r="F178" s="8"/>
    </row>
    <row r="179" spans="1:6" x14ac:dyDescent="0.3">
      <c r="A179" s="9"/>
      <c r="B179" s="17"/>
      <c r="C179" s="17"/>
      <c r="D179" s="18" t="str">
        <f t="shared" si="5"/>
        <v/>
      </c>
      <c r="E179" s="8"/>
      <c r="F179" s="8"/>
    </row>
    <row r="180" spans="1:6" x14ac:dyDescent="0.3">
      <c r="A180" s="9"/>
      <c r="B180" s="17"/>
      <c r="C180" s="17"/>
      <c r="D180" s="18" t="str">
        <f t="shared" si="5"/>
        <v/>
      </c>
      <c r="E180" s="8"/>
      <c r="F180" s="8"/>
    </row>
    <row r="181" spans="1:6" x14ac:dyDescent="0.3">
      <c r="A181" s="9"/>
      <c r="B181" s="17"/>
      <c r="C181" s="17"/>
      <c r="D181" s="18" t="str">
        <f t="shared" si="5"/>
        <v/>
      </c>
      <c r="E181" s="8"/>
      <c r="F181" s="8"/>
    </row>
    <row r="182" spans="1:6" x14ac:dyDescent="0.3">
      <c r="A182" s="9"/>
      <c r="B182" s="17"/>
      <c r="C182" s="17"/>
      <c r="D182" s="18" t="str">
        <f t="shared" si="5"/>
        <v/>
      </c>
      <c r="E182" s="8"/>
      <c r="F182" s="8"/>
    </row>
    <row r="183" spans="1:6" x14ac:dyDescent="0.3">
      <c r="A183" s="9"/>
      <c r="B183" s="17"/>
      <c r="C183" s="17"/>
      <c r="D183" s="18" t="str">
        <f t="shared" si="5"/>
        <v/>
      </c>
      <c r="E183" s="8"/>
      <c r="F183" s="8"/>
    </row>
    <row r="184" spans="1:6" x14ac:dyDescent="0.3">
      <c r="A184" s="9"/>
      <c r="B184" s="17"/>
      <c r="C184" s="17"/>
      <c r="D184" s="18" t="str">
        <f t="shared" si="5"/>
        <v/>
      </c>
      <c r="E184" s="8"/>
      <c r="F184" s="8"/>
    </row>
    <row r="185" spans="1:6" x14ac:dyDescent="0.3">
      <c r="A185" s="9"/>
      <c r="B185" s="17"/>
      <c r="C185" s="17"/>
      <c r="D185" s="18" t="str">
        <f t="shared" si="5"/>
        <v/>
      </c>
      <c r="E185" s="8"/>
      <c r="F185" s="8"/>
    </row>
    <row r="186" spans="1:6" x14ac:dyDescent="0.3">
      <c r="A186" s="9"/>
      <c r="B186" s="17"/>
      <c r="C186" s="17"/>
      <c r="D186" s="18" t="str">
        <f t="shared" si="5"/>
        <v/>
      </c>
      <c r="E186" s="8"/>
      <c r="F186" s="8"/>
    </row>
    <row r="187" spans="1:6" x14ac:dyDescent="0.3">
      <c r="A187" s="9"/>
      <c r="B187" s="17"/>
      <c r="C187" s="17"/>
      <c r="D187" s="18" t="str">
        <f t="shared" si="5"/>
        <v/>
      </c>
      <c r="E187" s="8"/>
      <c r="F187" s="8"/>
    </row>
    <row r="188" spans="1:6" x14ac:dyDescent="0.3">
      <c r="A188" s="9"/>
      <c r="B188" s="17"/>
      <c r="C188" s="17"/>
      <c r="D188" s="18" t="str">
        <f t="shared" si="5"/>
        <v/>
      </c>
      <c r="E188" s="8"/>
      <c r="F188" s="8"/>
    </row>
    <row r="189" spans="1:6" x14ac:dyDescent="0.3">
      <c r="A189" s="9"/>
      <c r="B189" s="17"/>
      <c r="C189" s="17"/>
      <c r="D189" s="18" t="str">
        <f t="shared" si="5"/>
        <v/>
      </c>
      <c r="E189" s="8"/>
      <c r="F189" s="8"/>
    </row>
    <row r="190" spans="1:6" x14ac:dyDescent="0.3">
      <c r="A190" s="9"/>
      <c r="B190" s="17"/>
      <c r="C190" s="17"/>
      <c r="D190" s="18" t="str">
        <f t="shared" si="5"/>
        <v/>
      </c>
      <c r="E190" s="8"/>
      <c r="F190" s="8"/>
    </row>
    <row r="191" spans="1:6" x14ac:dyDescent="0.3">
      <c r="A191" s="9"/>
      <c r="B191" s="17"/>
      <c r="C191" s="17"/>
      <c r="D191" s="18" t="str">
        <f t="shared" si="5"/>
        <v/>
      </c>
      <c r="E191" s="8"/>
      <c r="F191" s="8"/>
    </row>
    <row r="192" spans="1:6" x14ac:dyDescent="0.3">
      <c r="A192" s="9"/>
      <c r="B192" s="17"/>
      <c r="C192" s="17"/>
      <c r="D192" s="18" t="str">
        <f t="shared" si="5"/>
        <v/>
      </c>
      <c r="E192" s="8"/>
      <c r="F192" s="8"/>
    </row>
    <row r="193" spans="1:6" x14ac:dyDescent="0.3">
      <c r="A193" s="9"/>
      <c r="B193" s="17"/>
      <c r="C193" s="17"/>
      <c r="D193" s="18" t="str">
        <f t="shared" si="5"/>
        <v/>
      </c>
      <c r="E193" s="8"/>
      <c r="F193" s="8"/>
    </row>
    <row r="194" spans="1:6" x14ac:dyDescent="0.3">
      <c r="A194" s="9"/>
      <c r="B194" s="17"/>
      <c r="C194" s="17"/>
      <c r="D194" s="18" t="str">
        <f t="shared" si="5"/>
        <v/>
      </c>
      <c r="E194" s="8"/>
      <c r="F194" s="8"/>
    </row>
    <row r="195" spans="1:6" x14ac:dyDescent="0.3">
      <c r="A195" s="9"/>
      <c r="B195" s="17"/>
      <c r="C195" s="17"/>
      <c r="D195" s="18" t="str">
        <f t="shared" si="5"/>
        <v/>
      </c>
      <c r="E195" s="8"/>
      <c r="F195" s="8"/>
    </row>
    <row r="196" spans="1:6" x14ac:dyDescent="0.3">
      <c r="A196" s="9"/>
      <c r="B196" s="17"/>
      <c r="C196" s="17"/>
      <c r="D196" s="18" t="str">
        <f t="shared" si="5"/>
        <v/>
      </c>
      <c r="E196" s="8"/>
      <c r="F196" s="8"/>
    </row>
    <row r="197" spans="1:6" x14ac:dyDescent="0.3">
      <c r="A197" s="9"/>
      <c r="B197" s="17"/>
      <c r="C197" s="17"/>
      <c r="D197" s="18" t="str">
        <f t="shared" ref="D197:D228" si="6">IF(OR(B197="",C197=""),"",B197-C197)</f>
        <v/>
      </c>
      <c r="E197" s="8"/>
      <c r="F197" s="8"/>
    </row>
    <row r="198" spans="1:6" x14ac:dyDescent="0.3">
      <c r="A198" s="9"/>
      <c r="B198" s="17"/>
      <c r="C198" s="17"/>
      <c r="D198" s="18" t="str">
        <f t="shared" si="6"/>
        <v/>
      </c>
      <c r="E198" s="8"/>
      <c r="F198" s="8"/>
    </row>
    <row r="199" spans="1:6" x14ac:dyDescent="0.3">
      <c r="A199" s="9"/>
      <c r="B199" s="17"/>
      <c r="C199" s="17"/>
      <c r="D199" s="18" t="str">
        <f t="shared" si="6"/>
        <v/>
      </c>
      <c r="E199" s="8"/>
      <c r="F199" s="8"/>
    </row>
    <row r="200" spans="1:6" x14ac:dyDescent="0.3">
      <c r="A200" s="9"/>
      <c r="B200" s="17"/>
      <c r="C200" s="17"/>
      <c r="D200" s="18" t="str">
        <f t="shared" si="6"/>
        <v/>
      </c>
      <c r="E200" s="8"/>
      <c r="F200" s="8"/>
    </row>
    <row r="201" spans="1:6" x14ac:dyDescent="0.3">
      <c r="A201" s="9"/>
      <c r="B201" s="17"/>
      <c r="C201" s="17"/>
      <c r="D201" s="18" t="str">
        <f t="shared" si="6"/>
        <v/>
      </c>
      <c r="E201" s="8"/>
      <c r="F201" s="8"/>
    </row>
    <row r="202" spans="1:6" x14ac:dyDescent="0.3">
      <c r="A202" s="9"/>
      <c r="B202" s="17"/>
      <c r="C202" s="17"/>
      <c r="D202" s="18" t="str">
        <f t="shared" si="6"/>
        <v/>
      </c>
      <c r="E202" s="8"/>
      <c r="F202" s="8"/>
    </row>
    <row r="203" spans="1:6" x14ac:dyDescent="0.3">
      <c r="A203" s="9"/>
      <c r="B203" s="17"/>
      <c r="C203" s="17"/>
      <c r="D203" s="18" t="str">
        <f t="shared" si="6"/>
        <v/>
      </c>
      <c r="E203" s="8"/>
      <c r="F203" s="8"/>
    </row>
    <row r="204" spans="1:6" x14ac:dyDescent="0.3">
      <c r="A204" s="9"/>
      <c r="B204" s="17"/>
      <c r="C204" s="17"/>
      <c r="D204" s="18" t="str">
        <f t="shared" si="6"/>
        <v/>
      </c>
      <c r="E204" s="8"/>
      <c r="F204" s="8"/>
    </row>
  </sheetData>
  <autoFilter ref="A4:F204" xr:uid="{00000000-0009-0000-0000-000003000000}"/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4"/>
  <sheetViews>
    <sheetView showGridLines="0" workbookViewId="0">
      <pane ySplit="4" topLeftCell="A5" activePane="bottomLeft" state="frozen"/>
      <selection pane="bottomLeft" activeCell="H5" sqref="H5:H11"/>
    </sheetView>
  </sheetViews>
  <sheetFormatPr baseColWidth="10" defaultColWidth="8.88671875" defaultRowHeight="14.4" x14ac:dyDescent="0.3"/>
  <cols>
    <col min="1" max="1" width="14" style="12" customWidth="1"/>
    <col min="2" max="2" width="12" style="12" customWidth="1"/>
    <col min="3" max="4" width="14" style="12" customWidth="1"/>
    <col min="5" max="5" width="16" style="12" customWidth="1"/>
    <col min="6" max="6" width="20" style="12" customWidth="1"/>
    <col min="7" max="7" width="19" style="12" customWidth="1"/>
    <col min="8" max="8" width="15" style="12" customWidth="1"/>
    <col min="9" max="9" width="18" style="12" customWidth="1"/>
    <col min="10" max="10" width="36" style="12" customWidth="1"/>
  </cols>
  <sheetData>
    <row r="1" spans="1:10" ht="25.05" customHeight="1" x14ac:dyDescent="0.3">
      <c r="A1" s="34" t="s">
        <v>187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34.049999999999997" customHeight="1" x14ac:dyDescent="0.3">
      <c r="A2" s="31" t="s">
        <v>188</v>
      </c>
      <c r="B2" s="32"/>
      <c r="C2" s="32"/>
      <c r="D2" s="32"/>
      <c r="E2" s="32"/>
      <c r="F2" s="32"/>
      <c r="G2" s="32"/>
      <c r="H2" s="32"/>
      <c r="I2" s="32"/>
      <c r="J2" s="32"/>
    </row>
    <row r="4" spans="1:10" ht="34.049999999999997" customHeight="1" x14ac:dyDescent="0.3">
      <c r="A4" s="1" t="s">
        <v>178</v>
      </c>
      <c r="B4" s="1" t="s">
        <v>189</v>
      </c>
      <c r="C4" s="1" t="s">
        <v>190</v>
      </c>
      <c r="D4" s="1" t="s">
        <v>66</v>
      </c>
      <c r="E4" s="1" t="s">
        <v>69</v>
      </c>
      <c r="F4" s="1" t="s">
        <v>191</v>
      </c>
      <c r="G4" s="1" t="s">
        <v>192</v>
      </c>
      <c r="H4" s="1" t="s">
        <v>193</v>
      </c>
      <c r="I4" s="1" t="s">
        <v>194</v>
      </c>
      <c r="J4" s="1" t="s">
        <v>126</v>
      </c>
    </row>
    <row r="5" spans="1:10" x14ac:dyDescent="0.3">
      <c r="A5" s="9">
        <v>46308</v>
      </c>
      <c r="B5" s="8" t="s">
        <v>163</v>
      </c>
      <c r="C5" s="10" t="str">
        <f>IFERROR(VLOOKUP(B5,Activos!$A$5:$C$104,3,FALSE),"")</f>
        <v>ETF</v>
      </c>
      <c r="D5" s="8" t="s">
        <v>68</v>
      </c>
      <c r="E5" s="19">
        <v>0.15368000000000001</v>
      </c>
      <c r="F5" s="20">
        <v>781.28</v>
      </c>
      <c r="G5" s="17">
        <v>120.07</v>
      </c>
      <c r="H5" s="17">
        <v>0.15</v>
      </c>
      <c r="I5" s="18">
        <f t="shared" ref="I5:I68" si="0">IF(OR(D5="",G5=""),"",IF(D5="COMPRA",-G5-IF(H5="",0,H5),IF(D5="VENTA",G5-IF(H5="",0,H5),"")))</f>
        <v>-120.22</v>
      </c>
      <c r="J5" s="8" t="s">
        <v>195</v>
      </c>
    </row>
    <row r="6" spans="1:10" x14ac:dyDescent="0.3">
      <c r="A6" s="9">
        <v>46314</v>
      </c>
      <c r="B6" s="8" t="s">
        <v>163</v>
      </c>
      <c r="C6" s="10" t="str">
        <f>IFERROR(VLOOKUP(B6,Activos!$A$5:$C$104,3,FALSE),"")</f>
        <v>ETF</v>
      </c>
      <c r="D6" s="8" t="s">
        <v>68</v>
      </c>
      <c r="E6" s="19">
        <v>0.24387</v>
      </c>
      <c r="F6" s="20">
        <v>770.89</v>
      </c>
      <c r="G6" s="17">
        <v>188</v>
      </c>
      <c r="H6" s="17">
        <v>0.15</v>
      </c>
      <c r="I6" s="18">
        <f t="shared" si="0"/>
        <v>-188.15</v>
      </c>
      <c r="J6" s="8" t="s">
        <v>196</v>
      </c>
    </row>
    <row r="7" spans="1:10" x14ac:dyDescent="0.3">
      <c r="A7" s="9">
        <v>46314</v>
      </c>
      <c r="B7" s="8" t="s">
        <v>169</v>
      </c>
      <c r="C7" s="10" t="str">
        <f>IFERROR(VLOOKUP(B7,Activos!$A$5:$C$104,3,FALSE),"")</f>
        <v>ETF</v>
      </c>
      <c r="D7" s="8" t="s">
        <v>68</v>
      </c>
      <c r="E7" s="19">
        <v>0.43170999999999998</v>
      </c>
      <c r="F7" s="20">
        <v>83.38</v>
      </c>
      <c r="G7" s="17">
        <v>36</v>
      </c>
      <c r="H7" s="17">
        <v>0.15</v>
      </c>
      <c r="I7" s="18">
        <f t="shared" si="0"/>
        <v>-36.15</v>
      </c>
      <c r="J7" s="8" t="s">
        <v>197</v>
      </c>
    </row>
    <row r="8" spans="1:10" x14ac:dyDescent="0.3">
      <c r="A8" s="9">
        <v>46314</v>
      </c>
      <c r="B8" s="8" t="s">
        <v>172</v>
      </c>
      <c r="C8" s="10" t="str">
        <f>IFERROR(VLOOKUP(B8,Activos!$A$5:$C$104,3,FALSE),"")</f>
        <v>CRIPTO</v>
      </c>
      <c r="D8" s="8" t="s">
        <v>68</v>
      </c>
      <c r="E8" s="21">
        <v>2.0734E-4</v>
      </c>
      <c r="F8" s="20">
        <v>81990.929999999993</v>
      </c>
      <c r="G8" s="17">
        <v>17</v>
      </c>
      <c r="H8" s="17">
        <v>0.17</v>
      </c>
      <c r="I8" s="18">
        <f t="shared" si="0"/>
        <v>-17.170000000000002</v>
      </c>
      <c r="J8" s="8" t="s">
        <v>198</v>
      </c>
    </row>
    <row r="9" spans="1:10" x14ac:dyDescent="0.3">
      <c r="A9" s="9">
        <v>46317</v>
      </c>
      <c r="B9" s="8" t="s">
        <v>163</v>
      </c>
      <c r="C9" s="10" t="str">
        <f>IFERROR(VLOOKUP(B9,Activos!$A$5:$C$104,3,FALSE),"")</f>
        <v>ETF</v>
      </c>
      <c r="D9" s="8" t="s">
        <v>68</v>
      </c>
      <c r="E9" s="19">
        <v>0.14552999999999999</v>
      </c>
      <c r="F9" s="20">
        <v>769.57</v>
      </c>
      <c r="G9" s="17">
        <v>112</v>
      </c>
      <c r="H9" s="17">
        <v>0.15</v>
      </c>
      <c r="I9" s="18">
        <f t="shared" si="0"/>
        <v>-112.15</v>
      </c>
      <c r="J9" s="8" t="s">
        <v>199</v>
      </c>
    </row>
    <row r="10" spans="1:10" x14ac:dyDescent="0.3">
      <c r="A10" s="9">
        <v>46317</v>
      </c>
      <c r="B10" s="8" t="s">
        <v>169</v>
      </c>
      <c r="C10" s="10" t="str">
        <f>IFERROR(VLOOKUP(B10,Activos!$A$5:$C$104,3,FALSE),"")</f>
        <v>ETF</v>
      </c>
      <c r="D10" s="8" t="s">
        <v>68</v>
      </c>
      <c r="E10" s="19">
        <v>0.24102000000000001</v>
      </c>
      <c r="F10" s="20">
        <v>82.97</v>
      </c>
      <c r="G10" s="17">
        <v>20</v>
      </c>
      <c r="H10" s="17">
        <v>0.15</v>
      </c>
      <c r="I10" s="18">
        <f t="shared" si="0"/>
        <v>-20.149999999999999</v>
      </c>
      <c r="J10" s="8" t="s">
        <v>200</v>
      </c>
    </row>
    <row r="11" spans="1:10" x14ac:dyDescent="0.3">
      <c r="A11" s="9">
        <v>46317</v>
      </c>
      <c r="B11" s="8" t="s">
        <v>172</v>
      </c>
      <c r="C11" s="10" t="str">
        <f>IFERROR(VLOOKUP(B11,Activos!$A$5:$C$104,3,FALSE),"")</f>
        <v>CRIPTO</v>
      </c>
      <c r="D11" s="8" t="s">
        <v>68</v>
      </c>
      <c r="E11" s="19">
        <v>1.2254E-4</v>
      </c>
      <c r="F11" s="20">
        <v>81606</v>
      </c>
      <c r="G11" s="17">
        <v>10</v>
      </c>
      <c r="H11" s="17">
        <v>0.1</v>
      </c>
      <c r="I11" s="18">
        <f t="shared" si="0"/>
        <v>-10.1</v>
      </c>
      <c r="J11" s="8" t="s">
        <v>201</v>
      </c>
    </row>
    <row r="12" spans="1:10" x14ac:dyDescent="0.3">
      <c r="A12" s="9"/>
      <c r="B12" s="8"/>
      <c r="C12" s="10" t="str">
        <f>IFERROR(VLOOKUP(B12,Activos!$A$5:$C$104,3,FALSE),"")</f>
        <v/>
      </c>
      <c r="D12" s="8"/>
      <c r="E12" s="19"/>
      <c r="F12" s="20"/>
      <c r="G12" s="17"/>
      <c r="H12" s="17"/>
      <c r="I12" s="18" t="str">
        <f t="shared" si="0"/>
        <v/>
      </c>
      <c r="J12" s="8"/>
    </row>
    <row r="13" spans="1:10" x14ac:dyDescent="0.3">
      <c r="A13" s="9"/>
      <c r="B13" s="8"/>
      <c r="C13" s="10" t="str">
        <f>IFERROR(VLOOKUP(B13,Activos!$A$5:$C$104,3,FALSE),"")</f>
        <v/>
      </c>
      <c r="D13" s="8"/>
      <c r="E13" s="19"/>
      <c r="F13" s="20"/>
      <c r="G13" s="17"/>
      <c r="H13" s="17"/>
      <c r="I13" s="18" t="str">
        <f t="shared" si="0"/>
        <v/>
      </c>
      <c r="J13" s="8"/>
    </row>
    <row r="14" spans="1:10" x14ac:dyDescent="0.3">
      <c r="A14" s="9"/>
      <c r="B14" s="8"/>
      <c r="C14" s="10" t="str">
        <f>IFERROR(VLOOKUP(B14,Activos!$A$5:$C$104,3,FALSE),"")</f>
        <v/>
      </c>
      <c r="D14" s="8"/>
      <c r="E14" s="19"/>
      <c r="F14" s="20"/>
      <c r="G14" s="17"/>
      <c r="H14" s="17"/>
      <c r="I14" s="18" t="str">
        <f t="shared" si="0"/>
        <v/>
      </c>
      <c r="J14" s="8"/>
    </row>
    <row r="15" spans="1:10" x14ac:dyDescent="0.3">
      <c r="A15" s="9"/>
      <c r="B15" s="8"/>
      <c r="C15" s="10" t="str">
        <f>IFERROR(VLOOKUP(B15,Activos!$A$5:$C$104,3,FALSE),"")</f>
        <v/>
      </c>
      <c r="D15" s="8"/>
      <c r="E15" s="19"/>
      <c r="F15" s="20"/>
      <c r="G15" s="17"/>
      <c r="H15" s="17"/>
      <c r="I15" s="18" t="str">
        <f t="shared" si="0"/>
        <v/>
      </c>
      <c r="J15" s="8"/>
    </row>
    <row r="16" spans="1:10" x14ac:dyDescent="0.3">
      <c r="A16" s="9"/>
      <c r="B16" s="8"/>
      <c r="C16" s="10" t="str">
        <f>IFERROR(VLOOKUP(B16,Activos!$A$5:$C$104,3,FALSE),"")</f>
        <v/>
      </c>
      <c r="D16" s="8"/>
      <c r="E16" s="19"/>
      <c r="F16" s="20"/>
      <c r="G16" s="17"/>
      <c r="H16" s="17"/>
      <c r="I16" s="18" t="str">
        <f t="shared" si="0"/>
        <v/>
      </c>
      <c r="J16" s="8"/>
    </row>
    <row r="17" spans="1:10" x14ac:dyDescent="0.3">
      <c r="A17" s="9"/>
      <c r="B17" s="8"/>
      <c r="C17" s="10" t="str">
        <f>IFERROR(VLOOKUP(B17,Activos!$A$5:$C$104,3,FALSE),"")</f>
        <v/>
      </c>
      <c r="D17" s="8"/>
      <c r="E17" s="19"/>
      <c r="F17" s="20"/>
      <c r="G17" s="17"/>
      <c r="H17" s="17"/>
      <c r="I17" s="18" t="str">
        <f t="shared" si="0"/>
        <v/>
      </c>
      <c r="J17" s="8"/>
    </row>
    <row r="18" spans="1:10" x14ac:dyDescent="0.3">
      <c r="A18" s="9"/>
      <c r="B18" s="8"/>
      <c r="C18" s="10" t="str">
        <f>IFERROR(VLOOKUP(B18,Activos!$A$5:$C$104,3,FALSE),"")</f>
        <v/>
      </c>
      <c r="D18" s="8"/>
      <c r="E18" s="19"/>
      <c r="F18" s="20"/>
      <c r="G18" s="17"/>
      <c r="H18" s="17"/>
      <c r="I18" s="18" t="str">
        <f t="shared" si="0"/>
        <v/>
      </c>
      <c r="J18" s="8"/>
    </row>
    <row r="19" spans="1:10" x14ac:dyDescent="0.3">
      <c r="A19" s="9"/>
      <c r="B19" s="8"/>
      <c r="C19" s="10" t="str">
        <f>IFERROR(VLOOKUP(B19,Activos!$A$5:$C$104,3,FALSE),"")</f>
        <v/>
      </c>
      <c r="D19" s="8"/>
      <c r="E19" s="19"/>
      <c r="F19" s="20"/>
      <c r="G19" s="17"/>
      <c r="H19" s="17"/>
      <c r="I19" s="18" t="str">
        <f t="shared" si="0"/>
        <v/>
      </c>
      <c r="J19" s="8"/>
    </row>
    <row r="20" spans="1:10" x14ac:dyDescent="0.3">
      <c r="A20" s="9"/>
      <c r="B20" s="8"/>
      <c r="C20" s="10" t="str">
        <f>IFERROR(VLOOKUP(B20,Activos!$A$5:$C$104,3,FALSE),"")</f>
        <v/>
      </c>
      <c r="D20" s="8"/>
      <c r="E20" s="19"/>
      <c r="F20" s="20"/>
      <c r="G20" s="17"/>
      <c r="H20" s="17"/>
      <c r="I20" s="18" t="str">
        <f t="shared" si="0"/>
        <v/>
      </c>
      <c r="J20" s="8"/>
    </row>
    <row r="21" spans="1:10" x14ac:dyDescent="0.3">
      <c r="A21" s="9"/>
      <c r="B21" s="8"/>
      <c r="C21" s="10" t="str">
        <f>IFERROR(VLOOKUP(B21,Activos!$A$5:$C$104,3,FALSE),"")</f>
        <v/>
      </c>
      <c r="D21" s="8"/>
      <c r="E21" s="19"/>
      <c r="F21" s="20"/>
      <c r="G21" s="17"/>
      <c r="H21" s="17"/>
      <c r="I21" s="18" t="str">
        <f t="shared" si="0"/>
        <v/>
      </c>
      <c r="J21" s="8"/>
    </row>
    <row r="22" spans="1:10" x14ac:dyDescent="0.3">
      <c r="A22" s="9"/>
      <c r="B22" s="8"/>
      <c r="C22" s="10" t="str">
        <f>IFERROR(VLOOKUP(B22,Activos!$A$5:$C$104,3,FALSE),"")</f>
        <v/>
      </c>
      <c r="D22" s="8"/>
      <c r="E22" s="19"/>
      <c r="F22" s="20"/>
      <c r="G22" s="17"/>
      <c r="H22" s="17"/>
      <c r="I22" s="18" t="str">
        <f t="shared" si="0"/>
        <v/>
      </c>
      <c r="J22" s="8"/>
    </row>
    <row r="23" spans="1:10" x14ac:dyDescent="0.3">
      <c r="A23" s="9"/>
      <c r="B23" s="8"/>
      <c r="C23" s="10" t="str">
        <f>IFERROR(VLOOKUP(B23,Activos!$A$5:$C$104,3,FALSE),"")</f>
        <v/>
      </c>
      <c r="D23" s="8"/>
      <c r="E23" s="19"/>
      <c r="F23" s="20"/>
      <c r="G23" s="17"/>
      <c r="H23" s="17"/>
      <c r="I23" s="18" t="str">
        <f t="shared" si="0"/>
        <v/>
      </c>
      <c r="J23" s="8"/>
    </row>
    <row r="24" spans="1:10" x14ac:dyDescent="0.3">
      <c r="A24" s="9"/>
      <c r="B24" s="8"/>
      <c r="C24" s="10" t="str">
        <f>IFERROR(VLOOKUP(B24,Activos!$A$5:$C$104,3,FALSE),"")</f>
        <v/>
      </c>
      <c r="D24" s="8"/>
      <c r="E24" s="19"/>
      <c r="F24" s="20"/>
      <c r="G24" s="17"/>
      <c r="H24" s="17"/>
      <c r="I24" s="18" t="str">
        <f t="shared" si="0"/>
        <v/>
      </c>
      <c r="J24" s="8"/>
    </row>
    <row r="25" spans="1:10" x14ac:dyDescent="0.3">
      <c r="A25" s="9"/>
      <c r="B25" s="8"/>
      <c r="C25" s="10" t="str">
        <f>IFERROR(VLOOKUP(B25,Activos!$A$5:$C$104,3,FALSE),"")</f>
        <v/>
      </c>
      <c r="D25" s="8"/>
      <c r="E25" s="19"/>
      <c r="F25" s="20"/>
      <c r="G25" s="17"/>
      <c r="H25" s="17"/>
      <c r="I25" s="18" t="str">
        <f t="shared" si="0"/>
        <v/>
      </c>
      <c r="J25" s="8"/>
    </row>
    <row r="26" spans="1:10" x14ac:dyDescent="0.3">
      <c r="A26" s="9"/>
      <c r="B26" s="8"/>
      <c r="C26" s="10" t="str">
        <f>IFERROR(VLOOKUP(B26,Activos!$A$5:$C$104,3,FALSE),"")</f>
        <v/>
      </c>
      <c r="D26" s="8"/>
      <c r="E26" s="19"/>
      <c r="F26" s="20"/>
      <c r="G26" s="17"/>
      <c r="H26" s="17"/>
      <c r="I26" s="18" t="str">
        <f t="shared" si="0"/>
        <v/>
      </c>
      <c r="J26" s="8"/>
    </row>
    <row r="27" spans="1:10" x14ac:dyDescent="0.3">
      <c r="A27" s="9"/>
      <c r="B27" s="8"/>
      <c r="C27" s="10" t="str">
        <f>IFERROR(VLOOKUP(B27,Activos!$A$5:$C$104,3,FALSE),"")</f>
        <v/>
      </c>
      <c r="D27" s="8"/>
      <c r="E27" s="19"/>
      <c r="F27" s="20"/>
      <c r="G27" s="17"/>
      <c r="H27" s="17"/>
      <c r="I27" s="18" t="str">
        <f t="shared" si="0"/>
        <v/>
      </c>
      <c r="J27" s="8"/>
    </row>
    <row r="28" spans="1:10" x14ac:dyDescent="0.3">
      <c r="A28" s="9"/>
      <c r="B28" s="8"/>
      <c r="C28" s="10" t="str">
        <f>IFERROR(VLOOKUP(B28,Activos!$A$5:$C$104,3,FALSE),"")</f>
        <v/>
      </c>
      <c r="D28" s="8"/>
      <c r="E28" s="19"/>
      <c r="F28" s="20"/>
      <c r="G28" s="17"/>
      <c r="H28" s="17"/>
      <c r="I28" s="18" t="str">
        <f t="shared" si="0"/>
        <v/>
      </c>
      <c r="J28" s="8"/>
    </row>
    <row r="29" spans="1:10" x14ac:dyDescent="0.3">
      <c r="A29" s="9"/>
      <c r="B29" s="8"/>
      <c r="C29" s="10" t="str">
        <f>IFERROR(VLOOKUP(B29,Activos!$A$5:$C$104,3,FALSE),"")</f>
        <v/>
      </c>
      <c r="D29" s="8"/>
      <c r="E29" s="19"/>
      <c r="F29" s="20"/>
      <c r="G29" s="17"/>
      <c r="H29" s="17"/>
      <c r="I29" s="18" t="str">
        <f t="shared" si="0"/>
        <v/>
      </c>
      <c r="J29" s="8"/>
    </row>
    <row r="30" spans="1:10" x14ac:dyDescent="0.3">
      <c r="A30" s="9"/>
      <c r="B30" s="8"/>
      <c r="C30" s="10" t="str">
        <f>IFERROR(VLOOKUP(B30,Activos!$A$5:$C$104,3,FALSE),"")</f>
        <v/>
      </c>
      <c r="D30" s="8"/>
      <c r="E30" s="19"/>
      <c r="F30" s="20"/>
      <c r="G30" s="17"/>
      <c r="H30" s="17"/>
      <c r="I30" s="18" t="str">
        <f t="shared" si="0"/>
        <v/>
      </c>
      <c r="J30" s="8"/>
    </row>
    <row r="31" spans="1:10" x14ac:dyDescent="0.3">
      <c r="A31" s="9"/>
      <c r="B31" s="8"/>
      <c r="C31" s="10" t="str">
        <f>IFERROR(VLOOKUP(B31,Activos!$A$5:$C$104,3,FALSE),"")</f>
        <v/>
      </c>
      <c r="D31" s="8"/>
      <c r="E31" s="19"/>
      <c r="F31" s="20"/>
      <c r="G31" s="17"/>
      <c r="H31" s="17"/>
      <c r="I31" s="18" t="str">
        <f t="shared" si="0"/>
        <v/>
      </c>
      <c r="J31" s="8"/>
    </row>
    <row r="32" spans="1:10" x14ac:dyDescent="0.3">
      <c r="A32" s="9"/>
      <c r="B32" s="8"/>
      <c r="C32" s="10" t="str">
        <f>IFERROR(VLOOKUP(B32,Activos!$A$5:$C$104,3,FALSE),"")</f>
        <v/>
      </c>
      <c r="D32" s="8"/>
      <c r="E32" s="19"/>
      <c r="F32" s="20"/>
      <c r="G32" s="17"/>
      <c r="H32" s="17"/>
      <c r="I32" s="18" t="str">
        <f t="shared" si="0"/>
        <v/>
      </c>
      <c r="J32" s="8"/>
    </row>
    <row r="33" spans="1:10" x14ac:dyDescent="0.3">
      <c r="A33" s="9"/>
      <c r="B33" s="8"/>
      <c r="C33" s="10" t="str">
        <f>IFERROR(VLOOKUP(B33,Activos!$A$5:$C$104,3,FALSE),"")</f>
        <v/>
      </c>
      <c r="D33" s="8"/>
      <c r="E33" s="19"/>
      <c r="F33" s="20"/>
      <c r="G33" s="17"/>
      <c r="H33" s="17"/>
      <c r="I33" s="18" t="str">
        <f t="shared" si="0"/>
        <v/>
      </c>
      <c r="J33" s="8"/>
    </row>
    <row r="34" spans="1:10" x14ac:dyDescent="0.3">
      <c r="A34" s="9"/>
      <c r="B34" s="8"/>
      <c r="C34" s="10" t="str">
        <f>IFERROR(VLOOKUP(B34,Activos!$A$5:$C$104,3,FALSE),"")</f>
        <v/>
      </c>
      <c r="D34" s="8"/>
      <c r="E34" s="19"/>
      <c r="F34" s="20"/>
      <c r="G34" s="17"/>
      <c r="H34" s="17"/>
      <c r="I34" s="18" t="str">
        <f t="shared" si="0"/>
        <v/>
      </c>
      <c r="J34" s="8"/>
    </row>
    <row r="35" spans="1:10" x14ac:dyDescent="0.3">
      <c r="A35" s="9"/>
      <c r="B35" s="8"/>
      <c r="C35" s="10" t="str">
        <f>IFERROR(VLOOKUP(B35,Activos!$A$5:$C$104,3,FALSE),"")</f>
        <v/>
      </c>
      <c r="D35" s="8"/>
      <c r="E35" s="19"/>
      <c r="F35" s="20"/>
      <c r="G35" s="17"/>
      <c r="H35" s="17"/>
      <c r="I35" s="18" t="str">
        <f t="shared" si="0"/>
        <v/>
      </c>
      <c r="J35" s="8"/>
    </row>
    <row r="36" spans="1:10" x14ac:dyDescent="0.3">
      <c r="A36" s="9"/>
      <c r="B36" s="8"/>
      <c r="C36" s="10" t="str">
        <f>IFERROR(VLOOKUP(B36,Activos!$A$5:$C$104,3,FALSE),"")</f>
        <v/>
      </c>
      <c r="D36" s="8"/>
      <c r="E36" s="19"/>
      <c r="F36" s="20"/>
      <c r="G36" s="17"/>
      <c r="H36" s="17"/>
      <c r="I36" s="18" t="str">
        <f t="shared" si="0"/>
        <v/>
      </c>
      <c r="J36" s="8"/>
    </row>
    <row r="37" spans="1:10" x14ac:dyDescent="0.3">
      <c r="A37" s="9"/>
      <c r="B37" s="8"/>
      <c r="C37" s="10" t="str">
        <f>IFERROR(VLOOKUP(B37,Activos!$A$5:$C$104,3,FALSE),"")</f>
        <v/>
      </c>
      <c r="D37" s="8"/>
      <c r="E37" s="19"/>
      <c r="F37" s="20"/>
      <c r="G37" s="17"/>
      <c r="H37" s="17"/>
      <c r="I37" s="18" t="str">
        <f t="shared" si="0"/>
        <v/>
      </c>
      <c r="J37" s="8"/>
    </row>
    <row r="38" spans="1:10" x14ac:dyDescent="0.3">
      <c r="A38" s="9"/>
      <c r="B38" s="8"/>
      <c r="C38" s="10" t="str">
        <f>IFERROR(VLOOKUP(B38,Activos!$A$5:$C$104,3,FALSE),"")</f>
        <v/>
      </c>
      <c r="D38" s="8"/>
      <c r="E38" s="19"/>
      <c r="F38" s="20"/>
      <c r="G38" s="17"/>
      <c r="H38" s="17"/>
      <c r="I38" s="18" t="str">
        <f t="shared" si="0"/>
        <v/>
      </c>
      <c r="J38" s="8"/>
    </row>
    <row r="39" spans="1:10" x14ac:dyDescent="0.3">
      <c r="A39" s="9"/>
      <c r="B39" s="8"/>
      <c r="C39" s="10" t="str">
        <f>IFERROR(VLOOKUP(B39,Activos!$A$5:$C$104,3,FALSE),"")</f>
        <v/>
      </c>
      <c r="D39" s="8"/>
      <c r="E39" s="19"/>
      <c r="F39" s="20"/>
      <c r="G39" s="17"/>
      <c r="H39" s="17"/>
      <c r="I39" s="18" t="str">
        <f t="shared" si="0"/>
        <v/>
      </c>
      <c r="J39" s="8"/>
    </row>
    <row r="40" spans="1:10" x14ac:dyDescent="0.3">
      <c r="A40" s="9"/>
      <c r="B40" s="8"/>
      <c r="C40" s="10" t="str">
        <f>IFERROR(VLOOKUP(B40,Activos!$A$5:$C$104,3,FALSE),"")</f>
        <v/>
      </c>
      <c r="D40" s="8"/>
      <c r="E40" s="19"/>
      <c r="F40" s="20"/>
      <c r="G40" s="17"/>
      <c r="H40" s="17"/>
      <c r="I40" s="18" t="str">
        <f t="shared" si="0"/>
        <v/>
      </c>
      <c r="J40" s="8"/>
    </row>
    <row r="41" spans="1:10" x14ac:dyDescent="0.3">
      <c r="A41" s="9"/>
      <c r="B41" s="8"/>
      <c r="C41" s="10" t="str">
        <f>IFERROR(VLOOKUP(B41,Activos!$A$5:$C$104,3,FALSE),"")</f>
        <v/>
      </c>
      <c r="D41" s="8"/>
      <c r="E41" s="19"/>
      <c r="F41" s="20"/>
      <c r="G41" s="17"/>
      <c r="H41" s="17"/>
      <c r="I41" s="18" t="str">
        <f t="shared" si="0"/>
        <v/>
      </c>
      <c r="J41" s="8"/>
    </row>
    <row r="42" spans="1:10" x14ac:dyDescent="0.3">
      <c r="A42" s="9"/>
      <c r="B42" s="8"/>
      <c r="C42" s="10" t="str">
        <f>IFERROR(VLOOKUP(B42,Activos!$A$5:$C$104,3,FALSE),"")</f>
        <v/>
      </c>
      <c r="D42" s="8"/>
      <c r="E42" s="19"/>
      <c r="F42" s="20"/>
      <c r="G42" s="17"/>
      <c r="H42" s="17"/>
      <c r="I42" s="18" t="str">
        <f t="shared" si="0"/>
        <v/>
      </c>
      <c r="J42" s="8"/>
    </row>
    <row r="43" spans="1:10" x14ac:dyDescent="0.3">
      <c r="A43" s="9"/>
      <c r="B43" s="8"/>
      <c r="C43" s="10" t="str">
        <f>IFERROR(VLOOKUP(B43,Activos!$A$5:$C$104,3,FALSE),"")</f>
        <v/>
      </c>
      <c r="D43" s="8"/>
      <c r="E43" s="19"/>
      <c r="F43" s="20"/>
      <c r="G43" s="17"/>
      <c r="H43" s="17"/>
      <c r="I43" s="18" t="str">
        <f t="shared" si="0"/>
        <v/>
      </c>
      <c r="J43" s="8"/>
    </row>
    <row r="44" spans="1:10" x14ac:dyDescent="0.3">
      <c r="A44" s="9"/>
      <c r="B44" s="8"/>
      <c r="C44" s="10" t="str">
        <f>IFERROR(VLOOKUP(B44,Activos!$A$5:$C$104,3,FALSE),"")</f>
        <v/>
      </c>
      <c r="D44" s="8"/>
      <c r="E44" s="19"/>
      <c r="F44" s="20"/>
      <c r="G44" s="17"/>
      <c r="H44" s="17"/>
      <c r="I44" s="18" t="str">
        <f t="shared" si="0"/>
        <v/>
      </c>
      <c r="J44" s="8"/>
    </row>
    <row r="45" spans="1:10" x14ac:dyDescent="0.3">
      <c r="A45" s="9"/>
      <c r="B45" s="8"/>
      <c r="C45" s="10" t="str">
        <f>IFERROR(VLOOKUP(B45,Activos!$A$5:$C$104,3,FALSE),"")</f>
        <v/>
      </c>
      <c r="D45" s="8"/>
      <c r="E45" s="19"/>
      <c r="F45" s="20"/>
      <c r="G45" s="17"/>
      <c r="H45" s="17"/>
      <c r="I45" s="18" t="str">
        <f t="shared" si="0"/>
        <v/>
      </c>
      <c r="J45" s="8"/>
    </row>
    <row r="46" spans="1:10" x14ac:dyDescent="0.3">
      <c r="A46" s="9"/>
      <c r="B46" s="8"/>
      <c r="C46" s="10" t="str">
        <f>IFERROR(VLOOKUP(B46,Activos!$A$5:$C$104,3,FALSE),"")</f>
        <v/>
      </c>
      <c r="D46" s="8"/>
      <c r="E46" s="19"/>
      <c r="F46" s="20"/>
      <c r="G46" s="17"/>
      <c r="H46" s="17"/>
      <c r="I46" s="18" t="str">
        <f t="shared" si="0"/>
        <v/>
      </c>
      <c r="J46" s="8"/>
    </row>
    <row r="47" spans="1:10" x14ac:dyDescent="0.3">
      <c r="A47" s="9"/>
      <c r="B47" s="8"/>
      <c r="C47" s="10" t="str">
        <f>IFERROR(VLOOKUP(B47,Activos!$A$5:$C$104,3,FALSE),"")</f>
        <v/>
      </c>
      <c r="D47" s="8"/>
      <c r="E47" s="19"/>
      <c r="F47" s="20"/>
      <c r="G47" s="17"/>
      <c r="H47" s="17"/>
      <c r="I47" s="18" t="str">
        <f t="shared" si="0"/>
        <v/>
      </c>
      <c r="J47" s="8"/>
    </row>
    <row r="48" spans="1:10" x14ac:dyDescent="0.3">
      <c r="A48" s="9"/>
      <c r="B48" s="8"/>
      <c r="C48" s="10" t="str">
        <f>IFERROR(VLOOKUP(B48,Activos!$A$5:$C$104,3,FALSE),"")</f>
        <v/>
      </c>
      <c r="D48" s="8"/>
      <c r="E48" s="19"/>
      <c r="F48" s="20"/>
      <c r="G48" s="17"/>
      <c r="H48" s="17"/>
      <c r="I48" s="18" t="str">
        <f t="shared" si="0"/>
        <v/>
      </c>
      <c r="J48" s="8"/>
    </row>
    <row r="49" spans="1:10" x14ac:dyDescent="0.3">
      <c r="A49" s="9"/>
      <c r="B49" s="8"/>
      <c r="C49" s="10" t="str">
        <f>IFERROR(VLOOKUP(B49,Activos!$A$5:$C$104,3,FALSE),"")</f>
        <v/>
      </c>
      <c r="D49" s="8"/>
      <c r="E49" s="19"/>
      <c r="F49" s="20"/>
      <c r="G49" s="17"/>
      <c r="H49" s="17"/>
      <c r="I49" s="18" t="str">
        <f t="shared" si="0"/>
        <v/>
      </c>
      <c r="J49" s="8"/>
    </row>
    <row r="50" spans="1:10" x14ac:dyDescent="0.3">
      <c r="A50" s="9"/>
      <c r="B50" s="8"/>
      <c r="C50" s="10" t="str">
        <f>IFERROR(VLOOKUP(B50,Activos!$A$5:$C$104,3,FALSE),"")</f>
        <v/>
      </c>
      <c r="D50" s="8"/>
      <c r="E50" s="19"/>
      <c r="F50" s="20"/>
      <c r="G50" s="17"/>
      <c r="H50" s="17"/>
      <c r="I50" s="18" t="str">
        <f t="shared" si="0"/>
        <v/>
      </c>
      <c r="J50" s="8"/>
    </row>
    <row r="51" spans="1:10" x14ac:dyDescent="0.3">
      <c r="A51" s="9"/>
      <c r="B51" s="8"/>
      <c r="C51" s="10" t="str">
        <f>IFERROR(VLOOKUP(B51,Activos!$A$5:$C$104,3,FALSE),"")</f>
        <v/>
      </c>
      <c r="D51" s="8"/>
      <c r="E51" s="19"/>
      <c r="F51" s="20"/>
      <c r="G51" s="17"/>
      <c r="H51" s="17"/>
      <c r="I51" s="18" t="str">
        <f t="shared" si="0"/>
        <v/>
      </c>
      <c r="J51" s="8"/>
    </row>
    <row r="52" spans="1:10" x14ac:dyDescent="0.3">
      <c r="A52" s="9"/>
      <c r="B52" s="8"/>
      <c r="C52" s="10" t="str">
        <f>IFERROR(VLOOKUP(B52,Activos!$A$5:$C$104,3,FALSE),"")</f>
        <v/>
      </c>
      <c r="D52" s="8"/>
      <c r="E52" s="19"/>
      <c r="F52" s="20"/>
      <c r="G52" s="17"/>
      <c r="H52" s="17"/>
      <c r="I52" s="18" t="str">
        <f t="shared" si="0"/>
        <v/>
      </c>
      <c r="J52" s="8"/>
    </row>
    <row r="53" spans="1:10" x14ac:dyDescent="0.3">
      <c r="A53" s="9"/>
      <c r="B53" s="8"/>
      <c r="C53" s="10" t="str">
        <f>IFERROR(VLOOKUP(B53,Activos!$A$5:$C$104,3,FALSE),"")</f>
        <v/>
      </c>
      <c r="D53" s="8"/>
      <c r="E53" s="19"/>
      <c r="F53" s="20"/>
      <c r="G53" s="17"/>
      <c r="H53" s="17"/>
      <c r="I53" s="18" t="str">
        <f t="shared" si="0"/>
        <v/>
      </c>
      <c r="J53" s="8"/>
    </row>
    <row r="54" spans="1:10" x14ac:dyDescent="0.3">
      <c r="A54" s="9"/>
      <c r="B54" s="8"/>
      <c r="C54" s="10" t="str">
        <f>IFERROR(VLOOKUP(B54,Activos!$A$5:$C$104,3,FALSE),"")</f>
        <v/>
      </c>
      <c r="D54" s="8"/>
      <c r="E54" s="19"/>
      <c r="F54" s="20"/>
      <c r="G54" s="17"/>
      <c r="H54" s="17"/>
      <c r="I54" s="18" t="str">
        <f t="shared" si="0"/>
        <v/>
      </c>
      <c r="J54" s="8"/>
    </row>
    <row r="55" spans="1:10" x14ac:dyDescent="0.3">
      <c r="A55" s="9"/>
      <c r="B55" s="8"/>
      <c r="C55" s="10" t="str">
        <f>IFERROR(VLOOKUP(B55,Activos!$A$5:$C$104,3,FALSE),"")</f>
        <v/>
      </c>
      <c r="D55" s="8"/>
      <c r="E55" s="19"/>
      <c r="F55" s="20"/>
      <c r="G55" s="17"/>
      <c r="H55" s="17"/>
      <c r="I55" s="18" t="str">
        <f t="shared" si="0"/>
        <v/>
      </c>
      <c r="J55" s="8"/>
    </row>
    <row r="56" spans="1:10" x14ac:dyDescent="0.3">
      <c r="A56" s="9"/>
      <c r="B56" s="8"/>
      <c r="C56" s="10" t="str">
        <f>IFERROR(VLOOKUP(B56,Activos!$A$5:$C$104,3,FALSE),"")</f>
        <v/>
      </c>
      <c r="D56" s="8"/>
      <c r="E56" s="19"/>
      <c r="F56" s="20"/>
      <c r="G56" s="17"/>
      <c r="H56" s="17"/>
      <c r="I56" s="18" t="str">
        <f t="shared" si="0"/>
        <v/>
      </c>
      <c r="J56" s="8"/>
    </row>
    <row r="57" spans="1:10" x14ac:dyDescent="0.3">
      <c r="A57" s="9"/>
      <c r="B57" s="8"/>
      <c r="C57" s="10" t="str">
        <f>IFERROR(VLOOKUP(B57,Activos!$A$5:$C$104,3,FALSE),"")</f>
        <v/>
      </c>
      <c r="D57" s="8"/>
      <c r="E57" s="19"/>
      <c r="F57" s="20"/>
      <c r="G57" s="17"/>
      <c r="H57" s="17"/>
      <c r="I57" s="18" t="str">
        <f t="shared" si="0"/>
        <v/>
      </c>
      <c r="J57" s="8"/>
    </row>
    <row r="58" spans="1:10" x14ac:dyDescent="0.3">
      <c r="A58" s="9"/>
      <c r="B58" s="8"/>
      <c r="C58" s="10" t="str">
        <f>IFERROR(VLOOKUP(B58,Activos!$A$5:$C$104,3,FALSE),"")</f>
        <v/>
      </c>
      <c r="D58" s="8"/>
      <c r="E58" s="19"/>
      <c r="F58" s="20"/>
      <c r="G58" s="17"/>
      <c r="H58" s="17"/>
      <c r="I58" s="18" t="str">
        <f t="shared" si="0"/>
        <v/>
      </c>
      <c r="J58" s="8"/>
    </row>
    <row r="59" spans="1:10" x14ac:dyDescent="0.3">
      <c r="A59" s="9"/>
      <c r="B59" s="8"/>
      <c r="C59" s="10" t="str">
        <f>IFERROR(VLOOKUP(B59,Activos!$A$5:$C$104,3,FALSE),"")</f>
        <v/>
      </c>
      <c r="D59" s="8"/>
      <c r="E59" s="19"/>
      <c r="F59" s="20"/>
      <c r="G59" s="17"/>
      <c r="H59" s="17"/>
      <c r="I59" s="18" t="str">
        <f t="shared" si="0"/>
        <v/>
      </c>
      <c r="J59" s="8"/>
    </row>
    <row r="60" spans="1:10" x14ac:dyDescent="0.3">
      <c r="A60" s="9"/>
      <c r="B60" s="8"/>
      <c r="C60" s="10" t="str">
        <f>IFERROR(VLOOKUP(B60,Activos!$A$5:$C$104,3,FALSE),"")</f>
        <v/>
      </c>
      <c r="D60" s="8"/>
      <c r="E60" s="19"/>
      <c r="F60" s="20"/>
      <c r="G60" s="17"/>
      <c r="H60" s="17"/>
      <c r="I60" s="18" t="str">
        <f t="shared" si="0"/>
        <v/>
      </c>
      <c r="J60" s="8"/>
    </row>
    <row r="61" spans="1:10" x14ac:dyDescent="0.3">
      <c r="A61" s="9"/>
      <c r="B61" s="8"/>
      <c r="C61" s="10" t="str">
        <f>IFERROR(VLOOKUP(B61,Activos!$A$5:$C$104,3,FALSE),"")</f>
        <v/>
      </c>
      <c r="D61" s="8"/>
      <c r="E61" s="19"/>
      <c r="F61" s="20"/>
      <c r="G61" s="17"/>
      <c r="H61" s="17"/>
      <c r="I61" s="18" t="str">
        <f t="shared" si="0"/>
        <v/>
      </c>
      <c r="J61" s="8"/>
    </row>
    <row r="62" spans="1:10" x14ac:dyDescent="0.3">
      <c r="A62" s="9"/>
      <c r="B62" s="8"/>
      <c r="C62" s="10" t="str">
        <f>IFERROR(VLOOKUP(B62,Activos!$A$5:$C$104,3,FALSE),"")</f>
        <v/>
      </c>
      <c r="D62" s="8"/>
      <c r="E62" s="19"/>
      <c r="F62" s="20"/>
      <c r="G62" s="17"/>
      <c r="H62" s="17"/>
      <c r="I62" s="18" t="str">
        <f t="shared" si="0"/>
        <v/>
      </c>
      <c r="J62" s="8"/>
    </row>
    <row r="63" spans="1:10" x14ac:dyDescent="0.3">
      <c r="A63" s="9"/>
      <c r="B63" s="8"/>
      <c r="C63" s="10" t="str">
        <f>IFERROR(VLOOKUP(B63,Activos!$A$5:$C$104,3,FALSE),"")</f>
        <v/>
      </c>
      <c r="D63" s="8"/>
      <c r="E63" s="19"/>
      <c r="F63" s="20"/>
      <c r="G63" s="17"/>
      <c r="H63" s="17"/>
      <c r="I63" s="18" t="str">
        <f t="shared" si="0"/>
        <v/>
      </c>
      <c r="J63" s="8"/>
    </row>
    <row r="64" spans="1:10" x14ac:dyDescent="0.3">
      <c r="A64" s="9"/>
      <c r="B64" s="8"/>
      <c r="C64" s="10" t="str">
        <f>IFERROR(VLOOKUP(B64,Activos!$A$5:$C$104,3,FALSE),"")</f>
        <v/>
      </c>
      <c r="D64" s="8"/>
      <c r="E64" s="19"/>
      <c r="F64" s="20"/>
      <c r="G64" s="17"/>
      <c r="H64" s="17"/>
      <c r="I64" s="18" t="str">
        <f t="shared" si="0"/>
        <v/>
      </c>
      <c r="J64" s="8"/>
    </row>
    <row r="65" spans="1:10" x14ac:dyDescent="0.3">
      <c r="A65" s="9"/>
      <c r="B65" s="8"/>
      <c r="C65" s="10" t="str">
        <f>IFERROR(VLOOKUP(B65,Activos!$A$5:$C$104,3,FALSE),"")</f>
        <v/>
      </c>
      <c r="D65" s="8"/>
      <c r="E65" s="19"/>
      <c r="F65" s="20"/>
      <c r="G65" s="17"/>
      <c r="H65" s="17"/>
      <c r="I65" s="18" t="str">
        <f t="shared" si="0"/>
        <v/>
      </c>
      <c r="J65" s="8"/>
    </row>
    <row r="66" spans="1:10" x14ac:dyDescent="0.3">
      <c r="A66" s="9"/>
      <c r="B66" s="8"/>
      <c r="C66" s="10" t="str">
        <f>IFERROR(VLOOKUP(B66,Activos!$A$5:$C$104,3,FALSE),"")</f>
        <v/>
      </c>
      <c r="D66" s="8"/>
      <c r="E66" s="19"/>
      <c r="F66" s="20"/>
      <c r="G66" s="17"/>
      <c r="H66" s="17"/>
      <c r="I66" s="18" t="str">
        <f t="shared" si="0"/>
        <v/>
      </c>
      <c r="J66" s="8"/>
    </row>
    <row r="67" spans="1:10" x14ac:dyDescent="0.3">
      <c r="A67" s="9"/>
      <c r="B67" s="8"/>
      <c r="C67" s="10" t="str">
        <f>IFERROR(VLOOKUP(B67,Activos!$A$5:$C$104,3,FALSE),"")</f>
        <v/>
      </c>
      <c r="D67" s="8"/>
      <c r="E67" s="19"/>
      <c r="F67" s="20"/>
      <c r="G67" s="17"/>
      <c r="H67" s="17"/>
      <c r="I67" s="18" t="str">
        <f t="shared" si="0"/>
        <v/>
      </c>
      <c r="J67" s="8"/>
    </row>
    <row r="68" spans="1:10" x14ac:dyDescent="0.3">
      <c r="A68" s="9"/>
      <c r="B68" s="8"/>
      <c r="C68" s="10" t="str">
        <f>IFERROR(VLOOKUP(B68,Activos!$A$5:$C$104,3,FALSE),"")</f>
        <v/>
      </c>
      <c r="D68" s="8"/>
      <c r="E68" s="19"/>
      <c r="F68" s="20"/>
      <c r="G68" s="17"/>
      <c r="H68" s="17"/>
      <c r="I68" s="18" t="str">
        <f t="shared" si="0"/>
        <v/>
      </c>
      <c r="J68" s="8"/>
    </row>
    <row r="69" spans="1:10" x14ac:dyDescent="0.3">
      <c r="A69" s="9"/>
      <c r="B69" s="8"/>
      <c r="C69" s="10" t="str">
        <f>IFERROR(VLOOKUP(B69,Activos!$A$5:$C$104,3,FALSE),"")</f>
        <v/>
      </c>
      <c r="D69" s="8"/>
      <c r="E69" s="19"/>
      <c r="F69" s="20"/>
      <c r="G69" s="17"/>
      <c r="H69" s="17"/>
      <c r="I69" s="18" t="str">
        <f t="shared" ref="I69:I132" si="1">IF(OR(D69="",G69=""),"",IF(D69="COMPRA",-G69-IF(H69="",0,H69),IF(D69="VENTA",G69-IF(H69="",0,H69),"")))</f>
        <v/>
      </c>
      <c r="J69" s="8"/>
    </row>
    <row r="70" spans="1:10" x14ac:dyDescent="0.3">
      <c r="A70" s="9"/>
      <c r="B70" s="8"/>
      <c r="C70" s="10" t="str">
        <f>IFERROR(VLOOKUP(B70,Activos!$A$5:$C$104,3,FALSE),"")</f>
        <v/>
      </c>
      <c r="D70" s="8"/>
      <c r="E70" s="19"/>
      <c r="F70" s="20"/>
      <c r="G70" s="17"/>
      <c r="H70" s="17"/>
      <c r="I70" s="18" t="str">
        <f t="shared" si="1"/>
        <v/>
      </c>
      <c r="J70" s="8"/>
    </row>
    <row r="71" spans="1:10" x14ac:dyDescent="0.3">
      <c r="A71" s="9"/>
      <c r="B71" s="8"/>
      <c r="C71" s="10" t="str">
        <f>IFERROR(VLOOKUP(B71,Activos!$A$5:$C$104,3,FALSE),"")</f>
        <v/>
      </c>
      <c r="D71" s="8"/>
      <c r="E71" s="19"/>
      <c r="F71" s="20"/>
      <c r="G71" s="17"/>
      <c r="H71" s="17"/>
      <c r="I71" s="18" t="str">
        <f t="shared" si="1"/>
        <v/>
      </c>
      <c r="J71" s="8"/>
    </row>
    <row r="72" spans="1:10" x14ac:dyDescent="0.3">
      <c r="A72" s="9"/>
      <c r="B72" s="8"/>
      <c r="C72" s="10" t="str">
        <f>IFERROR(VLOOKUP(B72,Activos!$A$5:$C$104,3,FALSE),"")</f>
        <v/>
      </c>
      <c r="D72" s="8"/>
      <c r="E72" s="19"/>
      <c r="F72" s="20"/>
      <c r="G72" s="17"/>
      <c r="H72" s="17"/>
      <c r="I72" s="18" t="str">
        <f t="shared" si="1"/>
        <v/>
      </c>
      <c r="J72" s="8"/>
    </row>
    <row r="73" spans="1:10" x14ac:dyDescent="0.3">
      <c r="A73" s="9"/>
      <c r="B73" s="8"/>
      <c r="C73" s="10" t="str">
        <f>IFERROR(VLOOKUP(B73,Activos!$A$5:$C$104,3,FALSE),"")</f>
        <v/>
      </c>
      <c r="D73" s="8"/>
      <c r="E73" s="19"/>
      <c r="F73" s="20"/>
      <c r="G73" s="17"/>
      <c r="H73" s="17"/>
      <c r="I73" s="18" t="str">
        <f t="shared" si="1"/>
        <v/>
      </c>
      <c r="J73" s="8"/>
    </row>
    <row r="74" spans="1:10" x14ac:dyDescent="0.3">
      <c r="A74" s="9"/>
      <c r="B74" s="8"/>
      <c r="C74" s="10" t="str">
        <f>IFERROR(VLOOKUP(B74,Activos!$A$5:$C$104,3,FALSE),"")</f>
        <v/>
      </c>
      <c r="D74" s="8"/>
      <c r="E74" s="19"/>
      <c r="F74" s="20"/>
      <c r="G74" s="17"/>
      <c r="H74" s="17"/>
      <c r="I74" s="18" t="str">
        <f t="shared" si="1"/>
        <v/>
      </c>
      <c r="J74" s="8"/>
    </row>
    <row r="75" spans="1:10" x14ac:dyDescent="0.3">
      <c r="A75" s="9"/>
      <c r="B75" s="8"/>
      <c r="C75" s="10" t="str">
        <f>IFERROR(VLOOKUP(B75,Activos!$A$5:$C$104,3,FALSE),"")</f>
        <v/>
      </c>
      <c r="D75" s="8"/>
      <c r="E75" s="19"/>
      <c r="F75" s="20"/>
      <c r="G75" s="17"/>
      <c r="H75" s="17"/>
      <c r="I75" s="18" t="str">
        <f t="shared" si="1"/>
        <v/>
      </c>
      <c r="J75" s="8"/>
    </row>
    <row r="76" spans="1:10" x14ac:dyDescent="0.3">
      <c r="A76" s="9"/>
      <c r="B76" s="8"/>
      <c r="C76" s="10" t="str">
        <f>IFERROR(VLOOKUP(B76,Activos!$A$5:$C$104,3,FALSE),"")</f>
        <v/>
      </c>
      <c r="D76" s="8"/>
      <c r="E76" s="19"/>
      <c r="F76" s="20"/>
      <c r="G76" s="17"/>
      <c r="H76" s="17"/>
      <c r="I76" s="18" t="str">
        <f t="shared" si="1"/>
        <v/>
      </c>
      <c r="J76" s="8"/>
    </row>
    <row r="77" spans="1:10" x14ac:dyDescent="0.3">
      <c r="A77" s="9"/>
      <c r="B77" s="8"/>
      <c r="C77" s="10" t="str">
        <f>IFERROR(VLOOKUP(B77,Activos!$A$5:$C$104,3,FALSE),"")</f>
        <v/>
      </c>
      <c r="D77" s="8"/>
      <c r="E77" s="19"/>
      <c r="F77" s="20"/>
      <c r="G77" s="17"/>
      <c r="H77" s="17"/>
      <c r="I77" s="18" t="str">
        <f t="shared" si="1"/>
        <v/>
      </c>
      <c r="J77" s="8"/>
    </row>
    <row r="78" spans="1:10" x14ac:dyDescent="0.3">
      <c r="A78" s="9"/>
      <c r="B78" s="8"/>
      <c r="C78" s="10" t="str">
        <f>IFERROR(VLOOKUP(B78,Activos!$A$5:$C$104,3,FALSE),"")</f>
        <v/>
      </c>
      <c r="D78" s="8"/>
      <c r="E78" s="19"/>
      <c r="F78" s="20"/>
      <c r="G78" s="17"/>
      <c r="H78" s="17"/>
      <c r="I78" s="18" t="str">
        <f t="shared" si="1"/>
        <v/>
      </c>
      <c r="J78" s="8"/>
    </row>
    <row r="79" spans="1:10" x14ac:dyDescent="0.3">
      <c r="A79" s="9"/>
      <c r="B79" s="8"/>
      <c r="C79" s="10" t="str">
        <f>IFERROR(VLOOKUP(B79,Activos!$A$5:$C$104,3,FALSE),"")</f>
        <v/>
      </c>
      <c r="D79" s="8"/>
      <c r="E79" s="19"/>
      <c r="F79" s="20"/>
      <c r="G79" s="17"/>
      <c r="H79" s="17"/>
      <c r="I79" s="18" t="str">
        <f t="shared" si="1"/>
        <v/>
      </c>
      <c r="J79" s="8"/>
    </row>
    <row r="80" spans="1:10" x14ac:dyDescent="0.3">
      <c r="A80" s="9"/>
      <c r="B80" s="8"/>
      <c r="C80" s="10" t="str">
        <f>IFERROR(VLOOKUP(B80,Activos!$A$5:$C$104,3,FALSE),"")</f>
        <v/>
      </c>
      <c r="D80" s="8"/>
      <c r="E80" s="19"/>
      <c r="F80" s="20"/>
      <c r="G80" s="17"/>
      <c r="H80" s="17"/>
      <c r="I80" s="18" t="str">
        <f t="shared" si="1"/>
        <v/>
      </c>
      <c r="J80" s="8"/>
    </row>
    <row r="81" spans="1:10" x14ac:dyDescent="0.3">
      <c r="A81" s="9"/>
      <c r="B81" s="8"/>
      <c r="C81" s="10" t="str">
        <f>IFERROR(VLOOKUP(B81,Activos!$A$5:$C$104,3,FALSE),"")</f>
        <v/>
      </c>
      <c r="D81" s="8"/>
      <c r="E81" s="19"/>
      <c r="F81" s="20"/>
      <c r="G81" s="17"/>
      <c r="H81" s="17"/>
      <c r="I81" s="18" t="str">
        <f t="shared" si="1"/>
        <v/>
      </c>
      <c r="J81" s="8"/>
    </row>
    <row r="82" spans="1:10" x14ac:dyDescent="0.3">
      <c r="A82" s="9"/>
      <c r="B82" s="8"/>
      <c r="C82" s="10" t="str">
        <f>IFERROR(VLOOKUP(B82,Activos!$A$5:$C$104,3,FALSE),"")</f>
        <v/>
      </c>
      <c r="D82" s="8"/>
      <c r="E82" s="19"/>
      <c r="F82" s="20"/>
      <c r="G82" s="17"/>
      <c r="H82" s="17"/>
      <c r="I82" s="18" t="str">
        <f t="shared" si="1"/>
        <v/>
      </c>
      <c r="J82" s="8"/>
    </row>
    <row r="83" spans="1:10" x14ac:dyDescent="0.3">
      <c r="A83" s="9"/>
      <c r="B83" s="8"/>
      <c r="C83" s="10" t="str">
        <f>IFERROR(VLOOKUP(B83,Activos!$A$5:$C$104,3,FALSE),"")</f>
        <v/>
      </c>
      <c r="D83" s="8"/>
      <c r="E83" s="19"/>
      <c r="F83" s="20"/>
      <c r="G83" s="17"/>
      <c r="H83" s="17"/>
      <c r="I83" s="18" t="str">
        <f t="shared" si="1"/>
        <v/>
      </c>
      <c r="J83" s="8"/>
    </row>
    <row r="84" spans="1:10" x14ac:dyDescent="0.3">
      <c r="A84" s="9"/>
      <c r="B84" s="8"/>
      <c r="C84" s="10" t="str">
        <f>IFERROR(VLOOKUP(B84,Activos!$A$5:$C$104,3,FALSE),"")</f>
        <v/>
      </c>
      <c r="D84" s="8"/>
      <c r="E84" s="19"/>
      <c r="F84" s="20"/>
      <c r="G84" s="17"/>
      <c r="H84" s="17"/>
      <c r="I84" s="18" t="str">
        <f t="shared" si="1"/>
        <v/>
      </c>
      <c r="J84" s="8"/>
    </row>
    <row r="85" spans="1:10" x14ac:dyDescent="0.3">
      <c r="A85" s="9"/>
      <c r="B85" s="8"/>
      <c r="C85" s="10" t="str">
        <f>IFERROR(VLOOKUP(B85,Activos!$A$5:$C$104,3,FALSE),"")</f>
        <v/>
      </c>
      <c r="D85" s="8"/>
      <c r="E85" s="19"/>
      <c r="F85" s="20"/>
      <c r="G85" s="17"/>
      <c r="H85" s="17"/>
      <c r="I85" s="18" t="str">
        <f t="shared" si="1"/>
        <v/>
      </c>
      <c r="J85" s="8"/>
    </row>
    <row r="86" spans="1:10" x14ac:dyDescent="0.3">
      <c r="A86" s="9"/>
      <c r="B86" s="8"/>
      <c r="C86" s="10" t="str">
        <f>IFERROR(VLOOKUP(B86,Activos!$A$5:$C$104,3,FALSE),"")</f>
        <v/>
      </c>
      <c r="D86" s="8"/>
      <c r="E86" s="19"/>
      <c r="F86" s="20"/>
      <c r="G86" s="17"/>
      <c r="H86" s="17"/>
      <c r="I86" s="18" t="str">
        <f t="shared" si="1"/>
        <v/>
      </c>
      <c r="J86" s="8"/>
    </row>
    <row r="87" spans="1:10" x14ac:dyDescent="0.3">
      <c r="A87" s="9"/>
      <c r="B87" s="8"/>
      <c r="C87" s="10" t="str">
        <f>IFERROR(VLOOKUP(B87,Activos!$A$5:$C$104,3,FALSE),"")</f>
        <v/>
      </c>
      <c r="D87" s="8"/>
      <c r="E87" s="19"/>
      <c r="F87" s="20"/>
      <c r="G87" s="17"/>
      <c r="H87" s="17"/>
      <c r="I87" s="18" t="str">
        <f t="shared" si="1"/>
        <v/>
      </c>
      <c r="J87" s="8"/>
    </row>
    <row r="88" spans="1:10" x14ac:dyDescent="0.3">
      <c r="A88" s="9"/>
      <c r="B88" s="8"/>
      <c r="C88" s="10" t="str">
        <f>IFERROR(VLOOKUP(B88,Activos!$A$5:$C$104,3,FALSE),"")</f>
        <v/>
      </c>
      <c r="D88" s="8"/>
      <c r="E88" s="19"/>
      <c r="F88" s="20"/>
      <c r="G88" s="17"/>
      <c r="H88" s="17"/>
      <c r="I88" s="18" t="str">
        <f t="shared" si="1"/>
        <v/>
      </c>
      <c r="J88" s="8"/>
    </row>
    <row r="89" spans="1:10" x14ac:dyDescent="0.3">
      <c r="A89" s="9"/>
      <c r="B89" s="8"/>
      <c r="C89" s="10" t="str">
        <f>IFERROR(VLOOKUP(B89,Activos!$A$5:$C$104,3,FALSE),"")</f>
        <v/>
      </c>
      <c r="D89" s="8"/>
      <c r="E89" s="19"/>
      <c r="F89" s="20"/>
      <c r="G89" s="17"/>
      <c r="H89" s="17"/>
      <c r="I89" s="18" t="str">
        <f t="shared" si="1"/>
        <v/>
      </c>
      <c r="J89" s="8"/>
    </row>
    <row r="90" spans="1:10" x14ac:dyDescent="0.3">
      <c r="A90" s="9"/>
      <c r="B90" s="8"/>
      <c r="C90" s="10" t="str">
        <f>IFERROR(VLOOKUP(B90,Activos!$A$5:$C$104,3,FALSE),"")</f>
        <v/>
      </c>
      <c r="D90" s="8"/>
      <c r="E90" s="19"/>
      <c r="F90" s="20"/>
      <c r="G90" s="17"/>
      <c r="H90" s="17"/>
      <c r="I90" s="18" t="str">
        <f t="shared" si="1"/>
        <v/>
      </c>
      <c r="J90" s="8"/>
    </row>
    <row r="91" spans="1:10" x14ac:dyDescent="0.3">
      <c r="A91" s="9"/>
      <c r="B91" s="8"/>
      <c r="C91" s="10" t="str">
        <f>IFERROR(VLOOKUP(B91,Activos!$A$5:$C$104,3,FALSE),"")</f>
        <v/>
      </c>
      <c r="D91" s="8"/>
      <c r="E91" s="19"/>
      <c r="F91" s="20"/>
      <c r="G91" s="17"/>
      <c r="H91" s="17"/>
      <c r="I91" s="18" t="str">
        <f t="shared" si="1"/>
        <v/>
      </c>
      <c r="J91" s="8"/>
    </row>
    <row r="92" spans="1:10" x14ac:dyDescent="0.3">
      <c r="A92" s="9"/>
      <c r="B92" s="8"/>
      <c r="C92" s="10" t="str">
        <f>IFERROR(VLOOKUP(B92,Activos!$A$5:$C$104,3,FALSE),"")</f>
        <v/>
      </c>
      <c r="D92" s="8"/>
      <c r="E92" s="19"/>
      <c r="F92" s="20"/>
      <c r="G92" s="17"/>
      <c r="H92" s="17"/>
      <c r="I92" s="18" t="str">
        <f t="shared" si="1"/>
        <v/>
      </c>
      <c r="J92" s="8"/>
    </row>
    <row r="93" spans="1:10" x14ac:dyDescent="0.3">
      <c r="A93" s="9"/>
      <c r="B93" s="8"/>
      <c r="C93" s="10" t="str">
        <f>IFERROR(VLOOKUP(B93,Activos!$A$5:$C$104,3,FALSE),"")</f>
        <v/>
      </c>
      <c r="D93" s="8"/>
      <c r="E93" s="19"/>
      <c r="F93" s="20"/>
      <c r="G93" s="17"/>
      <c r="H93" s="17"/>
      <c r="I93" s="18" t="str">
        <f t="shared" si="1"/>
        <v/>
      </c>
      <c r="J93" s="8"/>
    </row>
    <row r="94" spans="1:10" x14ac:dyDescent="0.3">
      <c r="A94" s="9"/>
      <c r="B94" s="8"/>
      <c r="C94" s="10" t="str">
        <f>IFERROR(VLOOKUP(B94,Activos!$A$5:$C$104,3,FALSE),"")</f>
        <v/>
      </c>
      <c r="D94" s="8"/>
      <c r="E94" s="19"/>
      <c r="F94" s="20"/>
      <c r="G94" s="17"/>
      <c r="H94" s="17"/>
      <c r="I94" s="18" t="str">
        <f t="shared" si="1"/>
        <v/>
      </c>
      <c r="J94" s="8"/>
    </row>
    <row r="95" spans="1:10" x14ac:dyDescent="0.3">
      <c r="A95" s="9"/>
      <c r="B95" s="8"/>
      <c r="C95" s="10" t="str">
        <f>IFERROR(VLOOKUP(B95,Activos!$A$5:$C$104,3,FALSE),"")</f>
        <v/>
      </c>
      <c r="D95" s="8"/>
      <c r="E95" s="19"/>
      <c r="F95" s="20"/>
      <c r="G95" s="17"/>
      <c r="H95" s="17"/>
      <c r="I95" s="18" t="str">
        <f t="shared" si="1"/>
        <v/>
      </c>
      <c r="J95" s="8"/>
    </row>
    <row r="96" spans="1:10" x14ac:dyDescent="0.3">
      <c r="A96" s="9"/>
      <c r="B96" s="8"/>
      <c r="C96" s="10" t="str">
        <f>IFERROR(VLOOKUP(B96,Activos!$A$5:$C$104,3,FALSE),"")</f>
        <v/>
      </c>
      <c r="D96" s="8"/>
      <c r="E96" s="19"/>
      <c r="F96" s="20"/>
      <c r="G96" s="17"/>
      <c r="H96" s="17"/>
      <c r="I96" s="18" t="str">
        <f t="shared" si="1"/>
        <v/>
      </c>
      <c r="J96" s="8"/>
    </row>
    <row r="97" spans="1:10" x14ac:dyDescent="0.3">
      <c r="A97" s="9"/>
      <c r="B97" s="8"/>
      <c r="C97" s="10" t="str">
        <f>IFERROR(VLOOKUP(B97,Activos!$A$5:$C$104,3,FALSE),"")</f>
        <v/>
      </c>
      <c r="D97" s="8"/>
      <c r="E97" s="19"/>
      <c r="F97" s="20"/>
      <c r="G97" s="17"/>
      <c r="H97" s="17"/>
      <c r="I97" s="18" t="str">
        <f t="shared" si="1"/>
        <v/>
      </c>
      <c r="J97" s="8"/>
    </row>
    <row r="98" spans="1:10" x14ac:dyDescent="0.3">
      <c r="A98" s="9"/>
      <c r="B98" s="8"/>
      <c r="C98" s="10" t="str">
        <f>IFERROR(VLOOKUP(B98,Activos!$A$5:$C$104,3,FALSE),"")</f>
        <v/>
      </c>
      <c r="D98" s="8"/>
      <c r="E98" s="19"/>
      <c r="F98" s="20"/>
      <c r="G98" s="17"/>
      <c r="H98" s="17"/>
      <c r="I98" s="18" t="str">
        <f t="shared" si="1"/>
        <v/>
      </c>
      <c r="J98" s="8"/>
    </row>
    <row r="99" spans="1:10" x14ac:dyDescent="0.3">
      <c r="A99" s="9"/>
      <c r="B99" s="8"/>
      <c r="C99" s="10" t="str">
        <f>IFERROR(VLOOKUP(B99,Activos!$A$5:$C$104,3,FALSE),"")</f>
        <v/>
      </c>
      <c r="D99" s="8"/>
      <c r="E99" s="19"/>
      <c r="F99" s="20"/>
      <c r="G99" s="17"/>
      <c r="H99" s="17"/>
      <c r="I99" s="18" t="str">
        <f t="shared" si="1"/>
        <v/>
      </c>
      <c r="J99" s="8"/>
    </row>
    <row r="100" spans="1:10" x14ac:dyDescent="0.3">
      <c r="A100" s="9"/>
      <c r="B100" s="8"/>
      <c r="C100" s="10" t="str">
        <f>IFERROR(VLOOKUP(B100,Activos!$A$5:$C$104,3,FALSE),"")</f>
        <v/>
      </c>
      <c r="D100" s="8"/>
      <c r="E100" s="19"/>
      <c r="F100" s="20"/>
      <c r="G100" s="17"/>
      <c r="H100" s="17"/>
      <c r="I100" s="18" t="str">
        <f t="shared" si="1"/>
        <v/>
      </c>
      <c r="J100" s="8"/>
    </row>
    <row r="101" spans="1:10" x14ac:dyDescent="0.3">
      <c r="A101" s="9"/>
      <c r="B101" s="8"/>
      <c r="C101" s="10" t="str">
        <f>IFERROR(VLOOKUP(B101,Activos!$A$5:$C$104,3,FALSE),"")</f>
        <v/>
      </c>
      <c r="D101" s="8"/>
      <c r="E101" s="19"/>
      <c r="F101" s="20"/>
      <c r="G101" s="17"/>
      <c r="H101" s="17"/>
      <c r="I101" s="18" t="str">
        <f t="shared" si="1"/>
        <v/>
      </c>
      <c r="J101" s="8"/>
    </row>
    <row r="102" spans="1:10" x14ac:dyDescent="0.3">
      <c r="A102" s="9"/>
      <c r="B102" s="8"/>
      <c r="C102" s="10" t="str">
        <f>IFERROR(VLOOKUP(B102,Activos!$A$5:$C$104,3,FALSE),"")</f>
        <v/>
      </c>
      <c r="D102" s="8"/>
      <c r="E102" s="19"/>
      <c r="F102" s="20"/>
      <c r="G102" s="17"/>
      <c r="H102" s="17"/>
      <c r="I102" s="18" t="str">
        <f t="shared" si="1"/>
        <v/>
      </c>
      <c r="J102" s="8"/>
    </row>
    <row r="103" spans="1:10" x14ac:dyDescent="0.3">
      <c r="A103" s="9"/>
      <c r="B103" s="8"/>
      <c r="C103" s="10" t="str">
        <f>IFERROR(VLOOKUP(B103,Activos!$A$5:$C$104,3,FALSE),"")</f>
        <v/>
      </c>
      <c r="D103" s="8"/>
      <c r="E103" s="19"/>
      <c r="F103" s="20"/>
      <c r="G103" s="17"/>
      <c r="H103" s="17"/>
      <c r="I103" s="18" t="str">
        <f t="shared" si="1"/>
        <v/>
      </c>
      <c r="J103" s="8"/>
    </row>
    <row r="104" spans="1:10" x14ac:dyDescent="0.3">
      <c r="A104" s="9"/>
      <c r="B104" s="8"/>
      <c r="C104" s="10" t="str">
        <f>IFERROR(VLOOKUP(B104,Activos!$A$5:$C$104,3,FALSE),"")</f>
        <v/>
      </c>
      <c r="D104" s="8"/>
      <c r="E104" s="19"/>
      <c r="F104" s="20"/>
      <c r="G104" s="17"/>
      <c r="H104" s="17"/>
      <c r="I104" s="18" t="str">
        <f t="shared" si="1"/>
        <v/>
      </c>
      <c r="J104" s="8"/>
    </row>
    <row r="105" spans="1:10" x14ac:dyDescent="0.3">
      <c r="A105" s="9"/>
      <c r="B105" s="8"/>
      <c r="C105" s="10" t="str">
        <f>IFERROR(VLOOKUP(B105,Activos!$A$5:$C$104,3,FALSE),"")</f>
        <v/>
      </c>
      <c r="D105" s="8"/>
      <c r="E105" s="19"/>
      <c r="F105" s="20"/>
      <c r="G105" s="17"/>
      <c r="H105" s="17"/>
      <c r="I105" s="18" t="str">
        <f t="shared" si="1"/>
        <v/>
      </c>
      <c r="J105" s="8"/>
    </row>
    <row r="106" spans="1:10" x14ac:dyDescent="0.3">
      <c r="A106" s="9"/>
      <c r="B106" s="8"/>
      <c r="C106" s="10" t="str">
        <f>IFERROR(VLOOKUP(B106,Activos!$A$5:$C$104,3,FALSE),"")</f>
        <v/>
      </c>
      <c r="D106" s="8"/>
      <c r="E106" s="19"/>
      <c r="F106" s="20"/>
      <c r="G106" s="17"/>
      <c r="H106" s="17"/>
      <c r="I106" s="18" t="str">
        <f t="shared" si="1"/>
        <v/>
      </c>
      <c r="J106" s="8"/>
    </row>
    <row r="107" spans="1:10" x14ac:dyDescent="0.3">
      <c r="A107" s="9"/>
      <c r="B107" s="8"/>
      <c r="C107" s="10" t="str">
        <f>IFERROR(VLOOKUP(B107,Activos!$A$5:$C$104,3,FALSE),"")</f>
        <v/>
      </c>
      <c r="D107" s="8"/>
      <c r="E107" s="19"/>
      <c r="F107" s="20"/>
      <c r="G107" s="17"/>
      <c r="H107" s="17"/>
      <c r="I107" s="18" t="str">
        <f t="shared" si="1"/>
        <v/>
      </c>
      <c r="J107" s="8"/>
    </row>
    <row r="108" spans="1:10" x14ac:dyDescent="0.3">
      <c r="A108" s="9"/>
      <c r="B108" s="8"/>
      <c r="C108" s="10" t="str">
        <f>IFERROR(VLOOKUP(B108,Activos!$A$5:$C$104,3,FALSE),"")</f>
        <v/>
      </c>
      <c r="D108" s="8"/>
      <c r="E108" s="19"/>
      <c r="F108" s="20"/>
      <c r="G108" s="17"/>
      <c r="H108" s="17"/>
      <c r="I108" s="18" t="str">
        <f t="shared" si="1"/>
        <v/>
      </c>
      <c r="J108" s="8"/>
    </row>
    <row r="109" spans="1:10" x14ac:dyDescent="0.3">
      <c r="A109" s="9"/>
      <c r="B109" s="8"/>
      <c r="C109" s="10" t="str">
        <f>IFERROR(VLOOKUP(B109,Activos!$A$5:$C$104,3,FALSE),"")</f>
        <v/>
      </c>
      <c r="D109" s="8"/>
      <c r="E109" s="19"/>
      <c r="F109" s="20"/>
      <c r="G109" s="17"/>
      <c r="H109" s="17"/>
      <c r="I109" s="18" t="str">
        <f t="shared" si="1"/>
        <v/>
      </c>
      <c r="J109" s="8"/>
    </row>
    <row r="110" spans="1:10" x14ac:dyDescent="0.3">
      <c r="A110" s="9"/>
      <c r="B110" s="8"/>
      <c r="C110" s="10" t="str">
        <f>IFERROR(VLOOKUP(B110,Activos!$A$5:$C$104,3,FALSE),"")</f>
        <v/>
      </c>
      <c r="D110" s="8"/>
      <c r="E110" s="19"/>
      <c r="F110" s="20"/>
      <c r="G110" s="17"/>
      <c r="H110" s="17"/>
      <c r="I110" s="18" t="str">
        <f t="shared" si="1"/>
        <v/>
      </c>
      <c r="J110" s="8"/>
    </row>
    <row r="111" spans="1:10" x14ac:dyDescent="0.3">
      <c r="A111" s="9"/>
      <c r="B111" s="8"/>
      <c r="C111" s="10" t="str">
        <f>IFERROR(VLOOKUP(B111,Activos!$A$5:$C$104,3,FALSE),"")</f>
        <v/>
      </c>
      <c r="D111" s="8"/>
      <c r="E111" s="19"/>
      <c r="F111" s="20"/>
      <c r="G111" s="17"/>
      <c r="H111" s="17"/>
      <c r="I111" s="18" t="str">
        <f t="shared" si="1"/>
        <v/>
      </c>
      <c r="J111" s="8"/>
    </row>
    <row r="112" spans="1:10" x14ac:dyDescent="0.3">
      <c r="A112" s="9"/>
      <c r="B112" s="8"/>
      <c r="C112" s="10" t="str">
        <f>IFERROR(VLOOKUP(B112,Activos!$A$5:$C$104,3,FALSE),"")</f>
        <v/>
      </c>
      <c r="D112" s="8"/>
      <c r="E112" s="19"/>
      <c r="F112" s="20"/>
      <c r="G112" s="17"/>
      <c r="H112" s="17"/>
      <c r="I112" s="18" t="str">
        <f t="shared" si="1"/>
        <v/>
      </c>
      <c r="J112" s="8"/>
    </row>
    <row r="113" spans="1:10" x14ac:dyDescent="0.3">
      <c r="A113" s="9"/>
      <c r="B113" s="8"/>
      <c r="C113" s="10" t="str">
        <f>IFERROR(VLOOKUP(B113,Activos!$A$5:$C$104,3,FALSE),"")</f>
        <v/>
      </c>
      <c r="D113" s="8"/>
      <c r="E113" s="19"/>
      <c r="F113" s="20"/>
      <c r="G113" s="17"/>
      <c r="H113" s="17"/>
      <c r="I113" s="18" t="str">
        <f t="shared" si="1"/>
        <v/>
      </c>
      <c r="J113" s="8"/>
    </row>
    <row r="114" spans="1:10" x14ac:dyDescent="0.3">
      <c r="A114" s="9"/>
      <c r="B114" s="8"/>
      <c r="C114" s="10" t="str">
        <f>IFERROR(VLOOKUP(B114,Activos!$A$5:$C$104,3,FALSE),"")</f>
        <v/>
      </c>
      <c r="D114" s="8"/>
      <c r="E114" s="19"/>
      <c r="F114" s="20"/>
      <c r="G114" s="17"/>
      <c r="H114" s="17"/>
      <c r="I114" s="18" t="str">
        <f t="shared" si="1"/>
        <v/>
      </c>
      <c r="J114" s="8"/>
    </row>
    <row r="115" spans="1:10" x14ac:dyDescent="0.3">
      <c r="A115" s="9"/>
      <c r="B115" s="8"/>
      <c r="C115" s="10" t="str">
        <f>IFERROR(VLOOKUP(B115,Activos!$A$5:$C$104,3,FALSE),"")</f>
        <v/>
      </c>
      <c r="D115" s="8"/>
      <c r="E115" s="19"/>
      <c r="F115" s="20"/>
      <c r="G115" s="17"/>
      <c r="H115" s="17"/>
      <c r="I115" s="18" t="str">
        <f t="shared" si="1"/>
        <v/>
      </c>
      <c r="J115" s="8"/>
    </row>
    <row r="116" spans="1:10" x14ac:dyDescent="0.3">
      <c r="A116" s="9"/>
      <c r="B116" s="8"/>
      <c r="C116" s="10" t="str">
        <f>IFERROR(VLOOKUP(B116,Activos!$A$5:$C$104,3,FALSE),"")</f>
        <v/>
      </c>
      <c r="D116" s="8"/>
      <c r="E116" s="19"/>
      <c r="F116" s="20"/>
      <c r="G116" s="17"/>
      <c r="H116" s="17"/>
      <c r="I116" s="18" t="str">
        <f t="shared" si="1"/>
        <v/>
      </c>
      <c r="J116" s="8"/>
    </row>
    <row r="117" spans="1:10" x14ac:dyDescent="0.3">
      <c r="A117" s="9"/>
      <c r="B117" s="8"/>
      <c r="C117" s="10" t="str">
        <f>IFERROR(VLOOKUP(B117,Activos!$A$5:$C$104,3,FALSE),"")</f>
        <v/>
      </c>
      <c r="D117" s="8"/>
      <c r="E117" s="19"/>
      <c r="F117" s="20"/>
      <c r="G117" s="17"/>
      <c r="H117" s="17"/>
      <c r="I117" s="18" t="str">
        <f t="shared" si="1"/>
        <v/>
      </c>
      <c r="J117" s="8"/>
    </row>
    <row r="118" spans="1:10" x14ac:dyDescent="0.3">
      <c r="A118" s="9"/>
      <c r="B118" s="8"/>
      <c r="C118" s="10" t="str">
        <f>IFERROR(VLOOKUP(B118,Activos!$A$5:$C$104,3,FALSE),"")</f>
        <v/>
      </c>
      <c r="D118" s="8"/>
      <c r="E118" s="19"/>
      <c r="F118" s="20"/>
      <c r="G118" s="17"/>
      <c r="H118" s="17"/>
      <c r="I118" s="18" t="str">
        <f t="shared" si="1"/>
        <v/>
      </c>
      <c r="J118" s="8"/>
    </row>
    <row r="119" spans="1:10" x14ac:dyDescent="0.3">
      <c r="A119" s="9"/>
      <c r="B119" s="8"/>
      <c r="C119" s="10" t="str">
        <f>IFERROR(VLOOKUP(B119,Activos!$A$5:$C$104,3,FALSE),"")</f>
        <v/>
      </c>
      <c r="D119" s="8"/>
      <c r="E119" s="19"/>
      <c r="F119" s="20"/>
      <c r="G119" s="17"/>
      <c r="H119" s="17"/>
      <c r="I119" s="18" t="str">
        <f t="shared" si="1"/>
        <v/>
      </c>
      <c r="J119" s="8"/>
    </row>
    <row r="120" spans="1:10" x14ac:dyDescent="0.3">
      <c r="A120" s="9"/>
      <c r="B120" s="8"/>
      <c r="C120" s="10" t="str">
        <f>IFERROR(VLOOKUP(B120,Activos!$A$5:$C$104,3,FALSE),"")</f>
        <v/>
      </c>
      <c r="D120" s="8"/>
      <c r="E120" s="19"/>
      <c r="F120" s="20"/>
      <c r="G120" s="17"/>
      <c r="H120" s="17"/>
      <c r="I120" s="18" t="str">
        <f t="shared" si="1"/>
        <v/>
      </c>
      <c r="J120" s="8"/>
    </row>
    <row r="121" spans="1:10" x14ac:dyDescent="0.3">
      <c r="A121" s="9"/>
      <c r="B121" s="8"/>
      <c r="C121" s="10" t="str">
        <f>IFERROR(VLOOKUP(B121,Activos!$A$5:$C$104,3,FALSE),"")</f>
        <v/>
      </c>
      <c r="D121" s="8"/>
      <c r="E121" s="19"/>
      <c r="F121" s="20"/>
      <c r="G121" s="17"/>
      <c r="H121" s="17"/>
      <c r="I121" s="18" t="str">
        <f t="shared" si="1"/>
        <v/>
      </c>
      <c r="J121" s="8"/>
    </row>
    <row r="122" spans="1:10" x14ac:dyDescent="0.3">
      <c r="A122" s="9"/>
      <c r="B122" s="8"/>
      <c r="C122" s="10" t="str">
        <f>IFERROR(VLOOKUP(B122,Activos!$A$5:$C$104,3,FALSE),"")</f>
        <v/>
      </c>
      <c r="D122" s="8"/>
      <c r="E122" s="19"/>
      <c r="F122" s="20"/>
      <c r="G122" s="17"/>
      <c r="H122" s="17"/>
      <c r="I122" s="18" t="str">
        <f t="shared" si="1"/>
        <v/>
      </c>
      <c r="J122" s="8"/>
    </row>
    <row r="123" spans="1:10" x14ac:dyDescent="0.3">
      <c r="A123" s="9"/>
      <c r="B123" s="8"/>
      <c r="C123" s="10" t="str">
        <f>IFERROR(VLOOKUP(B123,Activos!$A$5:$C$104,3,FALSE),"")</f>
        <v/>
      </c>
      <c r="D123" s="8"/>
      <c r="E123" s="19"/>
      <c r="F123" s="20"/>
      <c r="G123" s="17"/>
      <c r="H123" s="17"/>
      <c r="I123" s="18" t="str">
        <f t="shared" si="1"/>
        <v/>
      </c>
      <c r="J123" s="8"/>
    </row>
    <row r="124" spans="1:10" x14ac:dyDescent="0.3">
      <c r="A124" s="9"/>
      <c r="B124" s="8"/>
      <c r="C124" s="10" t="str">
        <f>IFERROR(VLOOKUP(B124,Activos!$A$5:$C$104,3,FALSE),"")</f>
        <v/>
      </c>
      <c r="D124" s="8"/>
      <c r="E124" s="19"/>
      <c r="F124" s="20"/>
      <c r="G124" s="17"/>
      <c r="H124" s="17"/>
      <c r="I124" s="18" t="str">
        <f t="shared" si="1"/>
        <v/>
      </c>
      <c r="J124" s="8"/>
    </row>
    <row r="125" spans="1:10" x14ac:dyDescent="0.3">
      <c r="A125" s="9"/>
      <c r="B125" s="8"/>
      <c r="C125" s="10" t="str">
        <f>IFERROR(VLOOKUP(B125,Activos!$A$5:$C$104,3,FALSE),"")</f>
        <v/>
      </c>
      <c r="D125" s="8"/>
      <c r="E125" s="19"/>
      <c r="F125" s="20"/>
      <c r="G125" s="17"/>
      <c r="H125" s="17"/>
      <c r="I125" s="18" t="str">
        <f t="shared" si="1"/>
        <v/>
      </c>
      <c r="J125" s="8"/>
    </row>
    <row r="126" spans="1:10" x14ac:dyDescent="0.3">
      <c r="A126" s="9"/>
      <c r="B126" s="8"/>
      <c r="C126" s="10" t="str">
        <f>IFERROR(VLOOKUP(B126,Activos!$A$5:$C$104,3,FALSE),"")</f>
        <v/>
      </c>
      <c r="D126" s="8"/>
      <c r="E126" s="19"/>
      <c r="F126" s="20"/>
      <c r="G126" s="17"/>
      <c r="H126" s="17"/>
      <c r="I126" s="18" t="str">
        <f t="shared" si="1"/>
        <v/>
      </c>
      <c r="J126" s="8"/>
    </row>
    <row r="127" spans="1:10" x14ac:dyDescent="0.3">
      <c r="A127" s="9"/>
      <c r="B127" s="8"/>
      <c r="C127" s="10" t="str">
        <f>IFERROR(VLOOKUP(B127,Activos!$A$5:$C$104,3,FALSE),"")</f>
        <v/>
      </c>
      <c r="D127" s="8"/>
      <c r="E127" s="19"/>
      <c r="F127" s="20"/>
      <c r="G127" s="17"/>
      <c r="H127" s="17"/>
      <c r="I127" s="18" t="str">
        <f t="shared" si="1"/>
        <v/>
      </c>
      <c r="J127" s="8"/>
    </row>
    <row r="128" spans="1:10" x14ac:dyDescent="0.3">
      <c r="A128" s="9"/>
      <c r="B128" s="8"/>
      <c r="C128" s="10" t="str">
        <f>IFERROR(VLOOKUP(B128,Activos!$A$5:$C$104,3,FALSE),"")</f>
        <v/>
      </c>
      <c r="D128" s="8"/>
      <c r="E128" s="19"/>
      <c r="F128" s="20"/>
      <c r="G128" s="17"/>
      <c r="H128" s="17"/>
      <c r="I128" s="18" t="str">
        <f t="shared" si="1"/>
        <v/>
      </c>
      <c r="J128" s="8"/>
    </row>
    <row r="129" spans="1:10" x14ac:dyDescent="0.3">
      <c r="A129" s="9"/>
      <c r="B129" s="8"/>
      <c r="C129" s="10" t="str">
        <f>IFERROR(VLOOKUP(B129,Activos!$A$5:$C$104,3,FALSE),"")</f>
        <v/>
      </c>
      <c r="D129" s="8"/>
      <c r="E129" s="19"/>
      <c r="F129" s="20"/>
      <c r="G129" s="17"/>
      <c r="H129" s="17"/>
      <c r="I129" s="18" t="str">
        <f t="shared" si="1"/>
        <v/>
      </c>
      <c r="J129" s="8"/>
    </row>
    <row r="130" spans="1:10" x14ac:dyDescent="0.3">
      <c r="A130" s="9"/>
      <c r="B130" s="8"/>
      <c r="C130" s="10" t="str">
        <f>IFERROR(VLOOKUP(B130,Activos!$A$5:$C$104,3,FALSE),"")</f>
        <v/>
      </c>
      <c r="D130" s="8"/>
      <c r="E130" s="19"/>
      <c r="F130" s="20"/>
      <c r="G130" s="17"/>
      <c r="H130" s="17"/>
      <c r="I130" s="18" t="str">
        <f t="shared" si="1"/>
        <v/>
      </c>
      <c r="J130" s="8"/>
    </row>
    <row r="131" spans="1:10" x14ac:dyDescent="0.3">
      <c r="A131" s="9"/>
      <c r="B131" s="8"/>
      <c r="C131" s="10" t="str">
        <f>IFERROR(VLOOKUP(B131,Activos!$A$5:$C$104,3,FALSE),"")</f>
        <v/>
      </c>
      <c r="D131" s="8"/>
      <c r="E131" s="19"/>
      <c r="F131" s="20"/>
      <c r="G131" s="17"/>
      <c r="H131" s="17"/>
      <c r="I131" s="18" t="str">
        <f t="shared" si="1"/>
        <v/>
      </c>
      <c r="J131" s="8"/>
    </row>
    <row r="132" spans="1:10" x14ac:dyDescent="0.3">
      <c r="A132" s="9"/>
      <c r="B132" s="8"/>
      <c r="C132" s="10" t="str">
        <f>IFERROR(VLOOKUP(B132,Activos!$A$5:$C$104,3,FALSE),"")</f>
        <v/>
      </c>
      <c r="D132" s="8"/>
      <c r="E132" s="19"/>
      <c r="F132" s="20"/>
      <c r="G132" s="17"/>
      <c r="H132" s="17"/>
      <c r="I132" s="18" t="str">
        <f t="shared" si="1"/>
        <v/>
      </c>
      <c r="J132" s="8"/>
    </row>
    <row r="133" spans="1:10" x14ac:dyDescent="0.3">
      <c r="A133" s="9"/>
      <c r="B133" s="8"/>
      <c r="C133" s="10" t="str">
        <f>IFERROR(VLOOKUP(B133,Activos!$A$5:$C$104,3,FALSE),"")</f>
        <v/>
      </c>
      <c r="D133" s="8"/>
      <c r="E133" s="19"/>
      <c r="F133" s="20"/>
      <c r="G133" s="17"/>
      <c r="H133" s="17"/>
      <c r="I133" s="18" t="str">
        <f t="shared" ref="I133:I196" si="2">IF(OR(D133="",G133=""),"",IF(D133="COMPRA",-G133-IF(H133="",0,H133),IF(D133="VENTA",G133-IF(H133="",0,H133),"")))</f>
        <v/>
      </c>
      <c r="J133" s="8"/>
    </row>
    <row r="134" spans="1:10" x14ac:dyDescent="0.3">
      <c r="A134" s="9"/>
      <c r="B134" s="8"/>
      <c r="C134" s="10" t="str">
        <f>IFERROR(VLOOKUP(B134,Activos!$A$5:$C$104,3,FALSE),"")</f>
        <v/>
      </c>
      <c r="D134" s="8"/>
      <c r="E134" s="19"/>
      <c r="F134" s="20"/>
      <c r="G134" s="17"/>
      <c r="H134" s="17"/>
      <c r="I134" s="18" t="str">
        <f t="shared" si="2"/>
        <v/>
      </c>
      <c r="J134" s="8"/>
    </row>
    <row r="135" spans="1:10" x14ac:dyDescent="0.3">
      <c r="A135" s="9"/>
      <c r="B135" s="8"/>
      <c r="C135" s="10" t="str">
        <f>IFERROR(VLOOKUP(B135,Activos!$A$5:$C$104,3,FALSE),"")</f>
        <v/>
      </c>
      <c r="D135" s="8"/>
      <c r="E135" s="19"/>
      <c r="F135" s="20"/>
      <c r="G135" s="17"/>
      <c r="H135" s="17"/>
      <c r="I135" s="18" t="str">
        <f t="shared" si="2"/>
        <v/>
      </c>
      <c r="J135" s="8"/>
    </row>
    <row r="136" spans="1:10" x14ac:dyDescent="0.3">
      <c r="A136" s="9"/>
      <c r="B136" s="8"/>
      <c r="C136" s="10" t="str">
        <f>IFERROR(VLOOKUP(B136,Activos!$A$5:$C$104,3,FALSE),"")</f>
        <v/>
      </c>
      <c r="D136" s="8"/>
      <c r="E136" s="19"/>
      <c r="F136" s="20"/>
      <c r="G136" s="17"/>
      <c r="H136" s="17"/>
      <c r="I136" s="18" t="str">
        <f t="shared" si="2"/>
        <v/>
      </c>
      <c r="J136" s="8"/>
    </row>
    <row r="137" spans="1:10" x14ac:dyDescent="0.3">
      <c r="A137" s="9"/>
      <c r="B137" s="8"/>
      <c r="C137" s="10" t="str">
        <f>IFERROR(VLOOKUP(B137,Activos!$A$5:$C$104,3,FALSE),"")</f>
        <v/>
      </c>
      <c r="D137" s="8"/>
      <c r="E137" s="19"/>
      <c r="F137" s="20"/>
      <c r="G137" s="17"/>
      <c r="H137" s="17"/>
      <c r="I137" s="18" t="str">
        <f t="shared" si="2"/>
        <v/>
      </c>
      <c r="J137" s="8"/>
    </row>
    <row r="138" spans="1:10" x14ac:dyDescent="0.3">
      <c r="A138" s="9"/>
      <c r="B138" s="8"/>
      <c r="C138" s="10" t="str">
        <f>IFERROR(VLOOKUP(B138,Activos!$A$5:$C$104,3,FALSE),"")</f>
        <v/>
      </c>
      <c r="D138" s="8"/>
      <c r="E138" s="19"/>
      <c r="F138" s="20"/>
      <c r="G138" s="17"/>
      <c r="H138" s="17"/>
      <c r="I138" s="18" t="str">
        <f t="shared" si="2"/>
        <v/>
      </c>
      <c r="J138" s="8"/>
    </row>
    <row r="139" spans="1:10" x14ac:dyDescent="0.3">
      <c r="A139" s="9"/>
      <c r="B139" s="8"/>
      <c r="C139" s="10" t="str">
        <f>IFERROR(VLOOKUP(B139,Activos!$A$5:$C$104,3,FALSE),"")</f>
        <v/>
      </c>
      <c r="D139" s="8"/>
      <c r="E139" s="19"/>
      <c r="F139" s="20"/>
      <c r="G139" s="17"/>
      <c r="H139" s="17"/>
      <c r="I139" s="18" t="str">
        <f t="shared" si="2"/>
        <v/>
      </c>
      <c r="J139" s="8"/>
    </row>
    <row r="140" spans="1:10" x14ac:dyDescent="0.3">
      <c r="A140" s="9"/>
      <c r="B140" s="8"/>
      <c r="C140" s="10" t="str">
        <f>IFERROR(VLOOKUP(B140,Activos!$A$5:$C$104,3,FALSE),"")</f>
        <v/>
      </c>
      <c r="D140" s="8"/>
      <c r="E140" s="19"/>
      <c r="F140" s="20"/>
      <c r="G140" s="17"/>
      <c r="H140" s="17"/>
      <c r="I140" s="18" t="str">
        <f t="shared" si="2"/>
        <v/>
      </c>
      <c r="J140" s="8"/>
    </row>
    <row r="141" spans="1:10" x14ac:dyDescent="0.3">
      <c r="A141" s="9"/>
      <c r="B141" s="8"/>
      <c r="C141" s="10" t="str">
        <f>IFERROR(VLOOKUP(B141,Activos!$A$5:$C$104,3,FALSE),"")</f>
        <v/>
      </c>
      <c r="D141" s="8"/>
      <c r="E141" s="19"/>
      <c r="F141" s="20"/>
      <c r="G141" s="17"/>
      <c r="H141" s="17"/>
      <c r="I141" s="18" t="str">
        <f t="shared" si="2"/>
        <v/>
      </c>
      <c r="J141" s="8"/>
    </row>
    <row r="142" spans="1:10" x14ac:dyDescent="0.3">
      <c r="A142" s="9"/>
      <c r="B142" s="8"/>
      <c r="C142" s="10" t="str">
        <f>IFERROR(VLOOKUP(B142,Activos!$A$5:$C$104,3,FALSE),"")</f>
        <v/>
      </c>
      <c r="D142" s="8"/>
      <c r="E142" s="19"/>
      <c r="F142" s="20"/>
      <c r="G142" s="17"/>
      <c r="H142" s="17"/>
      <c r="I142" s="18" t="str">
        <f t="shared" si="2"/>
        <v/>
      </c>
      <c r="J142" s="8"/>
    </row>
    <row r="143" spans="1:10" x14ac:dyDescent="0.3">
      <c r="A143" s="9"/>
      <c r="B143" s="8"/>
      <c r="C143" s="10" t="str">
        <f>IFERROR(VLOOKUP(B143,Activos!$A$5:$C$104,3,FALSE),"")</f>
        <v/>
      </c>
      <c r="D143" s="8"/>
      <c r="E143" s="19"/>
      <c r="F143" s="20"/>
      <c r="G143" s="17"/>
      <c r="H143" s="17"/>
      <c r="I143" s="18" t="str">
        <f t="shared" si="2"/>
        <v/>
      </c>
      <c r="J143" s="8"/>
    </row>
    <row r="144" spans="1:10" x14ac:dyDescent="0.3">
      <c r="A144" s="9"/>
      <c r="B144" s="8"/>
      <c r="C144" s="10" t="str">
        <f>IFERROR(VLOOKUP(B144,Activos!$A$5:$C$104,3,FALSE),"")</f>
        <v/>
      </c>
      <c r="D144" s="8"/>
      <c r="E144" s="19"/>
      <c r="F144" s="20"/>
      <c r="G144" s="17"/>
      <c r="H144" s="17"/>
      <c r="I144" s="18" t="str">
        <f t="shared" si="2"/>
        <v/>
      </c>
      <c r="J144" s="8"/>
    </row>
    <row r="145" spans="1:10" x14ac:dyDescent="0.3">
      <c r="A145" s="9"/>
      <c r="B145" s="8"/>
      <c r="C145" s="10" t="str">
        <f>IFERROR(VLOOKUP(B145,Activos!$A$5:$C$104,3,FALSE),"")</f>
        <v/>
      </c>
      <c r="D145" s="8"/>
      <c r="E145" s="19"/>
      <c r="F145" s="20"/>
      <c r="G145" s="17"/>
      <c r="H145" s="17"/>
      <c r="I145" s="18" t="str">
        <f t="shared" si="2"/>
        <v/>
      </c>
      <c r="J145" s="8"/>
    </row>
    <row r="146" spans="1:10" x14ac:dyDescent="0.3">
      <c r="A146" s="9"/>
      <c r="B146" s="8"/>
      <c r="C146" s="10" t="str">
        <f>IFERROR(VLOOKUP(B146,Activos!$A$5:$C$104,3,FALSE),"")</f>
        <v/>
      </c>
      <c r="D146" s="8"/>
      <c r="E146" s="19"/>
      <c r="F146" s="20"/>
      <c r="G146" s="17"/>
      <c r="H146" s="17"/>
      <c r="I146" s="18" t="str">
        <f t="shared" si="2"/>
        <v/>
      </c>
      <c r="J146" s="8"/>
    </row>
    <row r="147" spans="1:10" x14ac:dyDescent="0.3">
      <c r="A147" s="9"/>
      <c r="B147" s="8"/>
      <c r="C147" s="10" t="str">
        <f>IFERROR(VLOOKUP(B147,Activos!$A$5:$C$104,3,FALSE),"")</f>
        <v/>
      </c>
      <c r="D147" s="8"/>
      <c r="E147" s="19"/>
      <c r="F147" s="20"/>
      <c r="G147" s="17"/>
      <c r="H147" s="17"/>
      <c r="I147" s="18" t="str">
        <f t="shared" si="2"/>
        <v/>
      </c>
      <c r="J147" s="8"/>
    </row>
    <row r="148" spans="1:10" x14ac:dyDescent="0.3">
      <c r="A148" s="9"/>
      <c r="B148" s="8"/>
      <c r="C148" s="10" t="str">
        <f>IFERROR(VLOOKUP(B148,Activos!$A$5:$C$104,3,FALSE),"")</f>
        <v/>
      </c>
      <c r="D148" s="8"/>
      <c r="E148" s="19"/>
      <c r="F148" s="20"/>
      <c r="G148" s="17"/>
      <c r="H148" s="17"/>
      <c r="I148" s="18" t="str">
        <f t="shared" si="2"/>
        <v/>
      </c>
      <c r="J148" s="8"/>
    </row>
    <row r="149" spans="1:10" x14ac:dyDescent="0.3">
      <c r="A149" s="9"/>
      <c r="B149" s="8"/>
      <c r="C149" s="10" t="str">
        <f>IFERROR(VLOOKUP(B149,Activos!$A$5:$C$104,3,FALSE),"")</f>
        <v/>
      </c>
      <c r="D149" s="8"/>
      <c r="E149" s="19"/>
      <c r="F149" s="20"/>
      <c r="G149" s="17"/>
      <c r="H149" s="17"/>
      <c r="I149" s="18" t="str">
        <f t="shared" si="2"/>
        <v/>
      </c>
      <c r="J149" s="8"/>
    </row>
    <row r="150" spans="1:10" x14ac:dyDescent="0.3">
      <c r="A150" s="9"/>
      <c r="B150" s="8"/>
      <c r="C150" s="10" t="str">
        <f>IFERROR(VLOOKUP(B150,Activos!$A$5:$C$104,3,FALSE),"")</f>
        <v/>
      </c>
      <c r="D150" s="8"/>
      <c r="E150" s="19"/>
      <c r="F150" s="20"/>
      <c r="G150" s="17"/>
      <c r="H150" s="17"/>
      <c r="I150" s="18" t="str">
        <f t="shared" si="2"/>
        <v/>
      </c>
      <c r="J150" s="8"/>
    </row>
    <row r="151" spans="1:10" x14ac:dyDescent="0.3">
      <c r="A151" s="9"/>
      <c r="B151" s="8"/>
      <c r="C151" s="10" t="str">
        <f>IFERROR(VLOOKUP(B151,Activos!$A$5:$C$104,3,FALSE),"")</f>
        <v/>
      </c>
      <c r="D151" s="8"/>
      <c r="E151" s="19"/>
      <c r="F151" s="20"/>
      <c r="G151" s="17"/>
      <c r="H151" s="17"/>
      <c r="I151" s="18" t="str">
        <f t="shared" si="2"/>
        <v/>
      </c>
      <c r="J151" s="8"/>
    </row>
    <row r="152" spans="1:10" x14ac:dyDescent="0.3">
      <c r="A152" s="9"/>
      <c r="B152" s="8"/>
      <c r="C152" s="10" t="str">
        <f>IFERROR(VLOOKUP(B152,Activos!$A$5:$C$104,3,FALSE),"")</f>
        <v/>
      </c>
      <c r="D152" s="8"/>
      <c r="E152" s="19"/>
      <c r="F152" s="20"/>
      <c r="G152" s="17"/>
      <c r="H152" s="17"/>
      <c r="I152" s="18" t="str">
        <f t="shared" si="2"/>
        <v/>
      </c>
      <c r="J152" s="8"/>
    </row>
    <row r="153" spans="1:10" x14ac:dyDescent="0.3">
      <c r="A153" s="9"/>
      <c r="B153" s="8"/>
      <c r="C153" s="10" t="str">
        <f>IFERROR(VLOOKUP(B153,Activos!$A$5:$C$104,3,FALSE),"")</f>
        <v/>
      </c>
      <c r="D153" s="8"/>
      <c r="E153" s="19"/>
      <c r="F153" s="20"/>
      <c r="G153" s="17"/>
      <c r="H153" s="17"/>
      <c r="I153" s="18" t="str">
        <f t="shared" si="2"/>
        <v/>
      </c>
      <c r="J153" s="8"/>
    </row>
    <row r="154" spans="1:10" x14ac:dyDescent="0.3">
      <c r="A154" s="9"/>
      <c r="B154" s="8"/>
      <c r="C154" s="10" t="str">
        <f>IFERROR(VLOOKUP(B154,Activos!$A$5:$C$104,3,FALSE),"")</f>
        <v/>
      </c>
      <c r="D154" s="8"/>
      <c r="E154" s="19"/>
      <c r="F154" s="20"/>
      <c r="G154" s="17"/>
      <c r="H154" s="17"/>
      <c r="I154" s="18" t="str">
        <f t="shared" si="2"/>
        <v/>
      </c>
      <c r="J154" s="8"/>
    </row>
    <row r="155" spans="1:10" x14ac:dyDescent="0.3">
      <c r="A155" s="9"/>
      <c r="B155" s="8"/>
      <c r="C155" s="10" t="str">
        <f>IFERROR(VLOOKUP(B155,Activos!$A$5:$C$104,3,FALSE),"")</f>
        <v/>
      </c>
      <c r="D155" s="8"/>
      <c r="E155" s="19"/>
      <c r="F155" s="20"/>
      <c r="G155" s="17"/>
      <c r="H155" s="17"/>
      <c r="I155" s="18" t="str">
        <f t="shared" si="2"/>
        <v/>
      </c>
      <c r="J155" s="8"/>
    </row>
    <row r="156" spans="1:10" x14ac:dyDescent="0.3">
      <c r="A156" s="9"/>
      <c r="B156" s="8"/>
      <c r="C156" s="10" t="str">
        <f>IFERROR(VLOOKUP(B156,Activos!$A$5:$C$104,3,FALSE),"")</f>
        <v/>
      </c>
      <c r="D156" s="8"/>
      <c r="E156" s="19"/>
      <c r="F156" s="20"/>
      <c r="G156" s="17"/>
      <c r="H156" s="17"/>
      <c r="I156" s="18" t="str">
        <f t="shared" si="2"/>
        <v/>
      </c>
      <c r="J156" s="8"/>
    </row>
    <row r="157" spans="1:10" x14ac:dyDescent="0.3">
      <c r="A157" s="9"/>
      <c r="B157" s="8"/>
      <c r="C157" s="10" t="str">
        <f>IFERROR(VLOOKUP(B157,Activos!$A$5:$C$104,3,FALSE),"")</f>
        <v/>
      </c>
      <c r="D157" s="8"/>
      <c r="E157" s="19"/>
      <c r="F157" s="20"/>
      <c r="G157" s="17"/>
      <c r="H157" s="17"/>
      <c r="I157" s="18" t="str">
        <f t="shared" si="2"/>
        <v/>
      </c>
      <c r="J157" s="8"/>
    </row>
    <row r="158" spans="1:10" x14ac:dyDescent="0.3">
      <c r="A158" s="9"/>
      <c r="B158" s="8"/>
      <c r="C158" s="10" t="str">
        <f>IFERROR(VLOOKUP(B158,Activos!$A$5:$C$104,3,FALSE),"")</f>
        <v/>
      </c>
      <c r="D158" s="8"/>
      <c r="E158" s="19"/>
      <c r="F158" s="20"/>
      <c r="G158" s="17"/>
      <c r="H158" s="17"/>
      <c r="I158" s="18" t="str">
        <f t="shared" si="2"/>
        <v/>
      </c>
      <c r="J158" s="8"/>
    </row>
    <row r="159" spans="1:10" x14ac:dyDescent="0.3">
      <c r="A159" s="9"/>
      <c r="B159" s="8"/>
      <c r="C159" s="10" t="str">
        <f>IFERROR(VLOOKUP(B159,Activos!$A$5:$C$104,3,FALSE),"")</f>
        <v/>
      </c>
      <c r="D159" s="8"/>
      <c r="E159" s="19"/>
      <c r="F159" s="20"/>
      <c r="G159" s="17"/>
      <c r="H159" s="17"/>
      <c r="I159" s="18" t="str">
        <f t="shared" si="2"/>
        <v/>
      </c>
      <c r="J159" s="8"/>
    </row>
    <row r="160" spans="1:10" x14ac:dyDescent="0.3">
      <c r="A160" s="9"/>
      <c r="B160" s="8"/>
      <c r="C160" s="10" t="str">
        <f>IFERROR(VLOOKUP(B160,Activos!$A$5:$C$104,3,FALSE),"")</f>
        <v/>
      </c>
      <c r="D160" s="8"/>
      <c r="E160" s="19"/>
      <c r="F160" s="20"/>
      <c r="G160" s="17"/>
      <c r="H160" s="17"/>
      <c r="I160" s="18" t="str">
        <f t="shared" si="2"/>
        <v/>
      </c>
      <c r="J160" s="8"/>
    </row>
    <row r="161" spans="1:10" x14ac:dyDescent="0.3">
      <c r="A161" s="9"/>
      <c r="B161" s="8"/>
      <c r="C161" s="10" t="str">
        <f>IFERROR(VLOOKUP(B161,Activos!$A$5:$C$104,3,FALSE),"")</f>
        <v/>
      </c>
      <c r="D161" s="8"/>
      <c r="E161" s="19"/>
      <c r="F161" s="20"/>
      <c r="G161" s="17"/>
      <c r="H161" s="17"/>
      <c r="I161" s="18" t="str">
        <f t="shared" si="2"/>
        <v/>
      </c>
      <c r="J161" s="8"/>
    </row>
    <row r="162" spans="1:10" x14ac:dyDescent="0.3">
      <c r="A162" s="9"/>
      <c r="B162" s="8"/>
      <c r="C162" s="10" t="str">
        <f>IFERROR(VLOOKUP(B162,Activos!$A$5:$C$104,3,FALSE),"")</f>
        <v/>
      </c>
      <c r="D162" s="8"/>
      <c r="E162" s="19"/>
      <c r="F162" s="20"/>
      <c r="G162" s="17"/>
      <c r="H162" s="17"/>
      <c r="I162" s="18" t="str">
        <f t="shared" si="2"/>
        <v/>
      </c>
      <c r="J162" s="8"/>
    </row>
    <row r="163" spans="1:10" x14ac:dyDescent="0.3">
      <c r="A163" s="9"/>
      <c r="B163" s="8"/>
      <c r="C163" s="10" t="str">
        <f>IFERROR(VLOOKUP(B163,Activos!$A$5:$C$104,3,FALSE),"")</f>
        <v/>
      </c>
      <c r="D163" s="8"/>
      <c r="E163" s="19"/>
      <c r="F163" s="20"/>
      <c r="G163" s="17"/>
      <c r="H163" s="17"/>
      <c r="I163" s="18" t="str">
        <f t="shared" si="2"/>
        <v/>
      </c>
      <c r="J163" s="8"/>
    </row>
    <row r="164" spans="1:10" x14ac:dyDescent="0.3">
      <c r="A164" s="9"/>
      <c r="B164" s="8"/>
      <c r="C164" s="10" t="str">
        <f>IFERROR(VLOOKUP(B164,Activos!$A$5:$C$104,3,FALSE),"")</f>
        <v/>
      </c>
      <c r="D164" s="8"/>
      <c r="E164" s="19"/>
      <c r="F164" s="20"/>
      <c r="G164" s="17"/>
      <c r="H164" s="17"/>
      <c r="I164" s="18" t="str">
        <f t="shared" si="2"/>
        <v/>
      </c>
      <c r="J164" s="8"/>
    </row>
    <row r="165" spans="1:10" x14ac:dyDescent="0.3">
      <c r="A165" s="9"/>
      <c r="B165" s="8"/>
      <c r="C165" s="10" t="str">
        <f>IFERROR(VLOOKUP(B165,Activos!$A$5:$C$104,3,FALSE),"")</f>
        <v/>
      </c>
      <c r="D165" s="8"/>
      <c r="E165" s="19"/>
      <c r="F165" s="20"/>
      <c r="G165" s="17"/>
      <c r="H165" s="17"/>
      <c r="I165" s="18" t="str">
        <f t="shared" si="2"/>
        <v/>
      </c>
      <c r="J165" s="8"/>
    </row>
    <row r="166" spans="1:10" x14ac:dyDescent="0.3">
      <c r="A166" s="9"/>
      <c r="B166" s="8"/>
      <c r="C166" s="10" t="str">
        <f>IFERROR(VLOOKUP(B166,Activos!$A$5:$C$104,3,FALSE),"")</f>
        <v/>
      </c>
      <c r="D166" s="8"/>
      <c r="E166" s="19"/>
      <c r="F166" s="20"/>
      <c r="G166" s="17"/>
      <c r="H166" s="17"/>
      <c r="I166" s="18" t="str">
        <f t="shared" si="2"/>
        <v/>
      </c>
      <c r="J166" s="8"/>
    </row>
    <row r="167" spans="1:10" x14ac:dyDescent="0.3">
      <c r="A167" s="9"/>
      <c r="B167" s="8"/>
      <c r="C167" s="10" t="str">
        <f>IFERROR(VLOOKUP(B167,Activos!$A$5:$C$104,3,FALSE),"")</f>
        <v/>
      </c>
      <c r="D167" s="8"/>
      <c r="E167" s="19"/>
      <c r="F167" s="20"/>
      <c r="G167" s="17"/>
      <c r="H167" s="17"/>
      <c r="I167" s="18" t="str">
        <f t="shared" si="2"/>
        <v/>
      </c>
      <c r="J167" s="8"/>
    </row>
    <row r="168" spans="1:10" x14ac:dyDescent="0.3">
      <c r="A168" s="9"/>
      <c r="B168" s="8"/>
      <c r="C168" s="10" t="str">
        <f>IFERROR(VLOOKUP(B168,Activos!$A$5:$C$104,3,FALSE),"")</f>
        <v/>
      </c>
      <c r="D168" s="8"/>
      <c r="E168" s="19"/>
      <c r="F168" s="20"/>
      <c r="G168" s="17"/>
      <c r="H168" s="17"/>
      <c r="I168" s="18" t="str">
        <f t="shared" si="2"/>
        <v/>
      </c>
      <c r="J168" s="8"/>
    </row>
    <row r="169" spans="1:10" x14ac:dyDescent="0.3">
      <c r="A169" s="9"/>
      <c r="B169" s="8"/>
      <c r="C169" s="10" t="str">
        <f>IFERROR(VLOOKUP(B169,Activos!$A$5:$C$104,3,FALSE),"")</f>
        <v/>
      </c>
      <c r="D169" s="8"/>
      <c r="E169" s="19"/>
      <c r="F169" s="20"/>
      <c r="G169" s="17"/>
      <c r="H169" s="17"/>
      <c r="I169" s="18" t="str">
        <f t="shared" si="2"/>
        <v/>
      </c>
      <c r="J169" s="8"/>
    </row>
    <row r="170" spans="1:10" x14ac:dyDescent="0.3">
      <c r="A170" s="9"/>
      <c r="B170" s="8"/>
      <c r="C170" s="10" t="str">
        <f>IFERROR(VLOOKUP(B170,Activos!$A$5:$C$104,3,FALSE),"")</f>
        <v/>
      </c>
      <c r="D170" s="8"/>
      <c r="E170" s="19"/>
      <c r="F170" s="20"/>
      <c r="G170" s="17"/>
      <c r="H170" s="17"/>
      <c r="I170" s="18" t="str">
        <f t="shared" si="2"/>
        <v/>
      </c>
      <c r="J170" s="8"/>
    </row>
    <row r="171" spans="1:10" x14ac:dyDescent="0.3">
      <c r="A171" s="9"/>
      <c r="B171" s="8"/>
      <c r="C171" s="10" t="str">
        <f>IFERROR(VLOOKUP(B171,Activos!$A$5:$C$104,3,FALSE),"")</f>
        <v/>
      </c>
      <c r="D171" s="8"/>
      <c r="E171" s="19"/>
      <c r="F171" s="20"/>
      <c r="G171" s="17"/>
      <c r="H171" s="17"/>
      <c r="I171" s="18" t="str">
        <f t="shared" si="2"/>
        <v/>
      </c>
      <c r="J171" s="8"/>
    </row>
    <row r="172" spans="1:10" x14ac:dyDescent="0.3">
      <c r="A172" s="9"/>
      <c r="B172" s="8"/>
      <c r="C172" s="10" t="str">
        <f>IFERROR(VLOOKUP(B172,Activos!$A$5:$C$104,3,FALSE),"")</f>
        <v/>
      </c>
      <c r="D172" s="8"/>
      <c r="E172" s="19"/>
      <c r="F172" s="20"/>
      <c r="G172" s="17"/>
      <c r="H172" s="17"/>
      <c r="I172" s="18" t="str">
        <f t="shared" si="2"/>
        <v/>
      </c>
      <c r="J172" s="8"/>
    </row>
    <row r="173" spans="1:10" x14ac:dyDescent="0.3">
      <c r="A173" s="9"/>
      <c r="B173" s="8"/>
      <c r="C173" s="10" t="str">
        <f>IFERROR(VLOOKUP(B173,Activos!$A$5:$C$104,3,FALSE),"")</f>
        <v/>
      </c>
      <c r="D173" s="8"/>
      <c r="E173" s="19"/>
      <c r="F173" s="20"/>
      <c r="G173" s="17"/>
      <c r="H173" s="17"/>
      <c r="I173" s="18" t="str">
        <f t="shared" si="2"/>
        <v/>
      </c>
      <c r="J173" s="8"/>
    </row>
    <row r="174" spans="1:10" x14ac:dyDescent="0.3">
      <c r="A174" s="9"/>
      <c r="B174" s="8"/>
      <c r="C174" s="10" t="str">
        <f>IFERROR(VLOOKUP(B174,Activos!$A$5:$C$104,3,FALSE),"")</f>
        <v/>
      </c>
      <c r="D174" s="8"/>
      <c r="E174" s="19"/>
      <c r="F174" s="20"/>
      <c r="G174" s="17"/>
      <c r="H174" s="17"/>
      <c r="I174" s="18" t="str">
        <f t="shared" si="2"/>
        <v/>
      </c>
      <c r="J174" s="8"/>
    </row>
    <row r="175" spans="1:10" x14ac:dyDescent="0.3">
      <c r="A175" s="9"/>
      <c r="B175" s="8"/>
      <c r="C175" s="10" t="str">
        <f>IFERROR(VLOOKUP(B175,Activos!$A$5:$C$104,3,FALSE),"")</f>
        <v/>
      </c>
      <c r="D175" s="8"/>
      <c r="E175" s="19"/>
      <c r="F175" s="20"/>
      <c r="G175" s="17"/>
      <c r="H175" s="17"/>
      <c r="I175" s="18" t="str">
        <f t="shared" si="2"/>
        <v/>
      </c>
      <c r="J175" s="8"/>
    </row>
    <row r="176" spans="1:10" x14ac:dyDescent="0.3">
      <c r="A176" s="9"/>
      <c r="B176" s="8"/>
      <c r="C176" s="10" t="str">
        <f>IFERROR(VLOOKUP(B176,Activos!$A$5:$C$104,3,FALSE),"")</f>
        <v/>
      </c>
      <c r="D176" s="8"/>
      <c r="E176" s="19"/>
      <c r="F176" s="20"/>
      <c r="G176" s="17"/>
      <c r="H176" s="17"/>
      <c r="I176" s="18" t="str">
        <f t="shared" si="2"/>
        <v/>
      </c>
      <c r="J176" s="8"/>
    </row>
    <row r="177" spans="1:10" x14ac:dyDescent="0.3">
      <c r="A177" s="9"/>
      <c r="B177" s="8"/>
      <c r="C177" s="10" t="str">
        <f>IFERROR(VLOOKUP(B177,Activos!$A$5:$C$104,3,FALSE),"")</f>
        <v/>
      </c>
      <c r="D177" s="8"/>
      <c r="E177" s="19"/>
      <c r="F177" s="20"/>
      <c r="G177" s="17"/>
      <c r="H177" s="17"/>
      <c r="I177" s="18" t="str">
        <f t="shared" si="2"/>
        <v/>
      </c>
      <c r="J177" s="8"/>
    </row>
    <row r="178" spans="1:10" x14ac:dyDescent="0.3">
      <c r="A178" s="9"/>
      <c r="B178" s="8"/>
      <c r="C178" s="10" t="str">
        <f>IFERROR(VLOOKUP(B178,Activos!$A$5:$C$104,3,FALSE),"")</f>
        <v/>
      </c>
      <c r="D178" s="8"/>
      <c r="E178" s="19"/>
      <c r="F178" s="20"/>
      <c r="G178" s="17"/>
      <c r="H178" s="17"/>
      <c r="I178" s="18" t="str">
        <f t="shared" si="2"/>
        <v/>
      </c>
      <c r="J178" s="8"/>
    </row>
    <row r="179" spans="1:10" x14ac:dyDescent="0.3">
      <c r="A179" s="9"/>
      <c r="B179" s="8"/>
      <c r="C179" s="10" t="str">
        <f>IFERROR(VLOOKUP(B179,Activos!$A$5:$C$104,3,FALSE),"")</f>
        <v/>
      </c>
      <c r="D179" s="8"/>
      <c r="E179" s="19"/>
      <c r="F179" s="20"/>
      <c r="G179" s="17"/>
      <c r="H179" s="17"/>
      <c r="I179" s="18" t="str">
        <f t="shared" si="2"/>
        <v/>
      </c>
      <c r="J179" s="8"/>
    </row>
    <row r="180" spans="1:10" x14ac:dyDescent="0.3">
      <c r="A180" s="9"/>
      <c r="B180" s="8"/>
      <c r="C180" s="10" t="str">
        <f>IFERROR(VLOOKUP(B180,Activos!$A$5:$C$104,3,FALSE),"")</f>
        <v/>
      </c>
      <c r="D180" s="8"/>
      <c r="E180" s="19"/>
      <c r="F180" s="20"/>
      <c r="G180" s="17"/>
      <c r="H180" s="17"/>
      <c r="I180" s="18" t="str">
        <f t="shared" si="2"/>
        <v/>
      </c>
      <c r="J180" s="8"/>
    </row>
    <row r="181" spans="1:10" x14ac:dyDescent="0.3">
      <c r="A181" s="9"/>
      <c r="B181" s="8"/>
      <c r="C181" s="10" t="str">
        <f>IFERROR(VLOOKUP(B181,Activos!$A$5:$C$104,3,FALSE),"")</f>
        <v/>
      </c>
      <c r="D181" s="8"/>
      <c r="E181" s="19"/>
      <c r="F181" s="20"/>
      <c r="G181" s="17"/>
      <c r="H181" s="17"/>
      <c r="I181" s="18" t="str">
        <f t="shared" si="2"/>
        <v/>
      </c>
      <c r="J181" s="8"/>
    </row>
    <row r="182" spans="1:10" x14ac:dyDescent="0.3">
      <c r="A182" s="9"/>
      <c r="B182" s="8"/>
      <c r="C182" s="10" t="str">
        <f>IFERROR(VLOOKUP(B182,Activos!$A$5:$C$104,3,FALSE),"")</f>
        <v/>
      </c>
      <c r="D182" s="8"/>
      <c r="E182" s="19"/>
      <c r="F182" s="20"/>
      <c r="G182" s="17"/>
      <c r="H182" s="17"/>
      <c r="I182" s="18" t="str">
        <f t="shared" si="2"/>
        <v/>
      </c>
      <c r="J182" s="8"/>
    </row>
    <row r="183" spans="1:10" x14ac:dyDescent="0.3">
      <c r="A183" s="9"/>
      <c r="B183" s="8"/>
      <c r="C183" s="10" t="str">
        <f>IFERROR(VLOOKUP(B183,Activos!$A$5:$C$104,3,FALSE),"")</f>
        <v/>
      </c>
      <c r="D183" s="8"/>
      <c r="E183" s="19"/>
      <c r="F183" s="20"/>
      <c r="G183" s="17"/>
      <c r="H183" s="17"/>
      <c r="I183" s="18" t="str">
        <f t="shared" si="2"/>
        <v/>
      </c>
      <c r="J183" s="8"/>
    </row>
    <row r="184" spans="1:10" x14ac:dyDescent="0.3">
      <c r="A184" s="9"/>
      <c r="B184" s="8"/>
      <c r="C184" s="10" t="str">
        <f>IFERROR(VLOOKUP(B184,Activos!$A$5:$C$104,3,FALSE),"")</f>
        <v/>
      </c>
      <c r="D184" s="8"/>
      <c r="E184" s="19"/>
      <c r="F184" s="20"/>
      <c r="G184" s="17"/>
      <c r="H184" s="17"/>
      <c r="I184" s="18" t="str">
        <f t="shared" si="2"/>
        <v/>
      </c>
      <c r="J184" s="8"/>
    </row>
    <row r="185" spans="1:10" x14ac:dyDescent="0.3">
      <c r="A185" s="9"/>
      <c r="B185" s="8"/>
      <c r="C185" s="10" t="str">
        <f>IFERROR(VLOOKUP(B185,Activos!$A$5:$C$104,3,FALSE),"")</f>
        <v/>
      </c>
      <c r="D185" s="8"/>
      <c r="E185" s="19"/>
      <c r="F185" s="20"/>
      <c r="G185" s="17"/>
      <c r="H185" s="17"/>
      <c r="I185" s="18" t="str">
        <f t="shared" si="2"/>
        <v/>
      </c>
      <c r="J185" s="8"/>
    </row>
    <row r="186" spans="1:10" x14ac:dyDescent="0.3">
      <c r="A186" s="9"/>
      <c r="B186" s="8"/>
      <c r="C186" s="10" t="str">
        <f>IFERROR(VLOOKUP(B186,Activos!$A$5:$C$104,3,FALSE),"")</f>
        <v/>
      </c>
      <c r="D186" s="8"/>
      <c r="E186" s="19"/>
      <c r="F186" s="20"/>
      <c r="G186" s="17"/>
      <c r="H186" s="17"/>
      <c r="I186" s="18" t="str">
        <f t="shared" si="2"/>
        <v/>
      </c>
      <c r="J186" s="8"/>
    </row>
    <row r="187" spans="1:10" x14ac:dyDescent="0.3">
      <c r="A187" s="9"/>
      <c r="B187" s="8"/>
      <c r="C187" s="10" t="str">
        <f>IFERROR(VLOOKUP(B187,Activos!$A$5:$C$104,3,FALSE),"")</f>
        <v/>
      </c>
      <c r="D187" s="8"/>
      <c r="E187" s="19"/>
      <c r="F187" s="20"/>
      <c r="G187" s="17"/>
      <c r="H187" s="17"/>
      <c r="I187" s="18" t="str">
        <f t="shared" si="2"/>
        <v/>
      </c>
      <c r="J187" s="8"/>
    </row>
    <row r="188" spans="1:10" x14ac:dyDescent="0.3">
      <c r="A188" s="9"/>
      <c r="B188" s="8"/>
      <c r="C188" s="10" t="str">
        <f>IFERROR(VLOOKUP(B188,Activos!$A$5:$C$104,3,FALSE),"")</f>
        <v/>
      </c>
      <c r="D188" s="8"/>
      <c r="E188" s="19"/>
      <c r="F188" s="20"/>
      <c r="G188" s="17"/>
      <c r="H188" s="17"/>
      <c r="I188" s="18" t="str">
        <f t="shared" si="2"/>
        <v/>
      </c>
      <c r="J188" s="8"/>
    </row>
    <row r="189" spans="1:10" x14ac:dyDescent="0.3">
      <c r="A189" s="9"/>
      <c r="B189" s="8"/>
      <c r="C189" s="10" t="str">
        <f>IFERROR(VLOOKUP(B189,Activos!$A$5:$C$104,3,FALSE),"")</f>
        <v/>
      </c>
      <c r="D189" s="8"/>
      <c r="E189" s="19"/>
      <c r="F189" s="20"/>
      <c r="G189" s="17"/>
      <c r="H189" s="17"/>
      <c r="I189" s="18" t="str">
        <f t="shared" si="2"/>
        <v/>
      </c>
      <c r="J189" s="8"/>
    </row>
    <row r="190" spans="1:10" x14ac:dyDescent="0.3">
      <c r="A190" s="9"/>
      <c r="B190" s="8"/>
      <c r="C190" s="10" t="str">
        <f>IFERROR(VLOOKUP(B190,Activos!$A$5:$C$104,3,FALSE),"")</f>
        <v/>
      </c>
      <c r="D190" s="8"/>
      <c r="E190" s="19"/>
      <c r="F190" s="20"/>
      <c r="G190" s="17"/>
      <c r="H190" s="17"/>
      <c r="I190" s="18" t="str">
        <f t="shared" si="2"/>
        <v/>
      </c>
      <c r="J190" s="8"/>
    </row>
    <row r="191" spans="1:10" x14ac:dyDescent="0.3">
      <c r="A191" s="9"/>
      <c r="B191" s="8"/>
      <c r="C191" s="10" t="str">
        <f>IFERROR(VLOOKUP(B191,Activos!$A$5:$C$104,3,FALSE),"")</f>
        <v/>
      </c>
      <c r="D191" s="8"/>
      <c r="E191" s="19"/>
      <c r="F191" s="20"/>
      <c r="G191" s="17"/>
      <c r="H191" s="17"/>
      <c r="I191" s="18" t="str">
        <f t="shared" si="2"/>
        <v/>
      </c>
      <c r="J191" s="8"/>
    </row>
    <row r="192" spans="1:10" x14ac:dyDescent="0.3">
      <c r="A192" s="9"/>
      <c r="B192" s="8"/>
      <c r="C192" s="10" t="str">
        <f>IFERROR(VLOOKUP(B192,Activos!$A$5:$C$104,3,FALSE),"")</f>
        <v/>
      </c>
      <c r="D192" s="8"/>
      <c r="E192" s="19"/>
      <c r="F192" s="20"/>
      <c r="G192" s="17"/>
      <c r="H192" s="17"/>
      <c r="I192" s="18" t="str">
        <f t="shared" si="2"/>
        <v/>
      </c>
      <c r="J192" s="8"/>
    </row>
    <row r="193" spans="1:10" x14ac:dyDescent="0.3">
      <c r="A193" s="9"/>
      <c r="B193" s="8"/>
      <c r="C193" s="10" t="str">
        <f>IFERROR(VLOOKUP(B193,Activos!$A$5:$C$104,3,FALSE),"")</f>
        <v/>
      </c>
      <c r="D193" s="8"/>
      <c r="E193" s="19"/>
      <c r="F193" s="20"/>
      <c r="G193" s="17"/>
      <c r="H193" s="17"/>
      <c r="I193" s="18" t="str">
        <f t="shared" si="2"/>
        <v/>
      </c>
      <c r="J193" s="8"/>
    </row>
    <row r="194" spans="1:10" x14ac:dyDescent="0.3">
      <c r="A194" s="9"/>
      <c r="B194" s="8"/>
      <c r="C194" s="10" t="str">
        <f>IFERROR(VLOOKUP(B194,Activos!$A$5:$C$104,3,FALSE),"")</f>
        <v/>
      </c>
      <c r="D194" s="8"/>
      <c r="E194" s="19"/>
      <c r="F194" s="20"/>
      <c r="G194" s="17"/>
      <c r="H194" s="17"/>
      <c r="I194" s="18" t="str">
        <f t="shared" si="2"/>
        <v/>
      </c>
      <c r="J194" s="8"/>
    </row>
    <row r="195" spans="1:10" x14ac:dyDescent="0.3">
      <c r="A195" s="9"/>
      <c r="B195" s="8"/>
      <c r="C195" s="10" t="str">
        <f>IFERROR(VLOOKUP(B195,Activos!$A$5:$C$104,3,FALSE),"")</f>
        <v/>
      </c>
      <c r="D195" s="8"/>
      <c r="E195" s="19"/>
      <c r="F195" s="20"/>
      <c r="G195" s="17"/>
      <c r="H195" s="17"/>
      <c r="I195" s="18" t="str">
        <f t="shared" si="2"/>
        <v/>
      </c>
      <c r="J195" s="8"/>
    </row>
    <row r="196" spans="1:10" x14ac:dyDescent="0.3">
      <c r="A196" s="9"/>
      <c r="B196" s="8"/>
      <c r="C196" s="10" t="str">
        <f>IFERROR(VLOOKUP(B196,Activos!$A$5:$C$104,3,FALSE),"")</f>
        <v/>
      </c>
      <c r="D196" s="8"/>
      <c r="E196" s="19"/>
      <c r="F196" s="20"/>
      <c r="G196" s="17"/>
      <c r="H196" s="17"/>
      <c r="I196" s="18" t="str">
        <f t="shared" si="2"/>
        <v/>
      </c>
      <c r="J196" s="8"/>
    </row>
    <row r="197" spans="1:10" x14ac:dyDescent="0.3">
      <c r="A197" s="9"/>
      <c r="B197" s="8"/>
      <c r="C197" s="10" t="str">
        <f>IFERROR(VLOOKUP(B197,Activos!$A$5:$C$104,3,FALSE),"")</f>
        <v/>
      </c>
      <c r="D197" s="8"/>
      <c r="E197" s="19"/>
      <c r="F197" s="20"/>
      <c r="G197" s="17"/>
      <c r="H197" s="17"/>
      <c r="I197" s="18" t="str">
        <f t="shared" ref="I197:I260" si="3">IF(OR(D197="",G197=""),"",IF(D197="COMPRA",-G197-IF(H197="",0,H197),IF(D197="VENTA",G197-IF(H197="",0,H197),"")))</f>
        <v/>
      </c>
      <c r="J197" s="8"/>
    </row>
    <row r="198" spans="1:10" x14ac:dyDescent="0.3">
      <c r="A198" s="9"/>
      <c r="B198" s="8"/>
      <c r="C198" s="10" t="str">
        <f>IFERROR(VLOOKUP(B198,Activos!$A$5:$C$104,3,FALSE),"")</f>
        <v/>
      </c>
      <c r="D198" s="8"/>
      <c r="E198" s="19"/>
      <c r="F198" s="20"/>
      <c r="G198" s="17"/>
      <c r="H198" s="17"/>
      <c r="I198" s="18" t="str">
        <f t="shared" si="3"/>
        <v/>
      </c>
      <c r="J198" s="8"/>
    </row>
    <row r="199" spans="1:10" x14ac:dyDescent="0.3">
      <c r="A199" s="9"/>
      <c r="B199" s="8"/>
      <c r="C199" s="10" t="str">
        <f>IFERROR(VLOOKUP(B199,Activos!$A$5:$C$104,3,FALSE),"")</f>
        <v/>
      </c>
      <c r="D199" s="8"/>
      <c r="E199" s="19"/>
      <c r="F199" s="20"/>
      <c r="G199" s="17"/>
      <c r="H199" s="17"/>
      <c r="I199" s="18" t="str">
        <f t="shared" si="3"/>
        <v/>
      </c>
      <c r="J199" s="8"/>
    </row>
    <row r="200" spans="1:10" x14ac:dyDescent="0.3">
      <c r="A200" s="9"/>
      <c r="B200" s="8"/>
      <c r="C200" s="10" t="str">
        <f>IFERROR(VLOOKUP(B200,Activos!$A$5:$C$104,3,FALSE),"")</f>
        <v/>
      </c>
      <c r="D200" s="8"/>
      <c r="E200" s="19"/>
      <c r="F200" s="20"/>
      <c r="G200" s="17"/>
      <c r="H200" s="17"/>
      <c r="I200" s="18" t="str">
        <f t="shared" si="3"/>
        <v/>
      </c>
      <c r="J200" s="8"/>
    </row>
    <row r="201" spans="1:10" x14ac:dyDescent="0.3">
      <c r="A201" s="9"/>
      <c r="B201" s="8"/>
      <c r="C201" s="10" t="str">
        <f>IFERROR(VLOOKUP(B201,Activos!$A$5:$C$104,3,FALSE),"")</f>
        <v/>
      </c>
      <c r="D201" s="8"/>
      <c r="E201" s="19"/>
      <c r="F201" s="20"/>
      <c r="G201" s="17"/>
      <c r="H201" s="17"/>
      <c r="I201" s="18" t="str">
        <f t="shared" si="3"/>
        <v/>
      </c>
      <c r="J201" s="8"/>
    </row>
    <row r="202" spans="1:10" x14ac:dyDescent="0.3">
      <c r="A202" s="9"/>
      <c r="B202" s="8"/>
      <c r="C202" s="10" t="str">
        <f>IFERROR(VLOOKUP(B202,Activos!$A$5:$C$104,3,FALSE),"")</f>
        <v/>
      </c>
      <c r="D202" s="8"/>
      <c r="E202" s="19"/>
      <c r="F202" s="20"/>
      <c r="G202" s="17"/>
      <c r="H202" s="17"/>
      <c r="I202" s="18" t="str">
        <f t="shared" si="3"/>
        <v/>
      </c>
      <c r="J202" s="8"/>
    </row>
    <row r="203" spans="1:10" x14ac:dyDescent="0.3">
      <c r="A203" s="9"/>
      <c r="B203" s="8"/>
      <c r="C203" s="10" t="str">
        <f>IFERROR(VLOOKUP(B203,Activos!$A$5:$C$104,3,FALSE),"")</f>
        <v/>
      </c>
      <c r="D203" s="8"/>
      <c r="E203" s="19"/>
      <c r="F203" s="20"/>
      <c r="G203" s="17"/>
      <c r="H203" s="17"/>
      <c r="I203" s="18" t="str">
        <f t="shared" si="3"/>
        <v/>
      </c>
      <c r="J203" s="8"/>
    </row>
    <row r="204" spans="1:10" x14ac:dyDescent="0.3">
      <c r="A204" s="9"/>
      <c r="B204" s="8"/>
      <c r="C204" s="10" t="str">
        <f>IFERROR(VLOOKUP(B204,Activos!$A$5:$C$104,3,FALSE),"")</f>
        <v/>
      </c>
      <c r="D204" s="8"/>
      <c r="E204" s="19"/>
      <c r="F204" s="20"/>
      <c r="G204" s="17"/>
      <c r="H204" s="17"/>
      <c r="I204" s="18" t="str">
        <f t="shared" si="3"/>
        <v/>
      </c>
      <c r="J204" s="8"/>
    </row>
    <row r="205" spans="1:10" x14ac:dyDescent="0.3">
      <c r="A205" s="9"/>
      <c r="B205" s="8"/>
      <c r="C205" s="10" t="str">
        <f>IFERROR(VLOOKUP(B205,Activos!$A$5:$C$104,3,FALSE),"")</f>
        <v/>
      </c>
      <c r="D205" s="8"/>
      <c r="E205" s="19"/>
      <c r="F205" s="20"/>
      <c r="G205" s="17"/>
      <c r="H205" s="17"/>
      <c r="I205" s="18" t="str">
        <f t="shared" si="3"/>
        <v/>
      </c>
      <c r="J205" s="8"/>
    </row>
    <row r="206" spans="1:10" x14ac:dyDescent="0.3">
      <c r="A206" s="9"/>
      <c r="B206" s="8"/>
      <c r="C206" s="10" t="str">
        <f>IFERROR(VLOOKUP(B206,Activos!$A$5:$C$104,3,FALSE),"")</f>
        <v/>
      </c>
      <c r="D206" s="8"/>
      <c r="E206" s="19"/>
      <c r="F206" s="20"/>
      <c r="G206" s="17"/>
      <c r="H206" s="17"/>
      <c r="I206" s="18" t="str">
        <f t="shared" si="3"/>
        <v/>
      </c>
      <c r="J206" s="8"/>
    </row>
    <row r="207" spans="1:10" x14ac:dyDescent="0.3">
      <c r="A207" s="9"/>
      <c r="B207" s="8"/>
      <c r="C207" s="10" t="str">
        <f>IFERROR(VLOOKUP(B207,Activos!$A$5:$C$104,3,FALSE),"")</f>
        <v/>
      </c>
      <c r="D207" s="8"/>
      <c r="E207" s="19"/>
      <c r="F207" s="20"/>
      <c r="G207" s="17"/>
      <c r="H207" s="17"/>
      <c r="I207" s="18" t="str">
        <f t="shared" si="3"/>
        <v/>
      </c>
      <c r="J207" s="8"/>
    </row>
    <row r="208" spans="1:10" x14ac:dyDescent="0.3">
      <c r="A208" s="9"/>
      <c r="B208" s="8"/>
      <c r="C208" s="10" t="str">
        <f>IFERROR(VLOOKUP(B208,Activos!$A$5:$C$104,3,FALSE),"")</f>
        <v/>
      </c>
      <c r="D208" s="8"/>
      <c r="E208" s="19"/>
      <c r="F208" s="20"/>
      <c r="G208" s="17"/>
      <c r="H208" s="17"/>
      <c r="I208" s="18" t="str">
        <f t="shared" si="3"/>
        <v/>
      </c>
      <c r="J208" s="8"/>
    </row>
    <row r="209" spans="1:10" x14ac:dyDescent="0.3">
      <c r="A209" s="9"/>
      <c r="B209" s="8"/>
      <c r="C209" s="10" t="str">
        <f>IFERROR(VLOOKUP(B209,Activos!$A$5:$C$104,3,FALSE),"")</f>
        <v/>
      </c>
      <c r="D209" s="8"/>
      <c r="E209" s="19"/>
      <c r="F209" s="20"/>
      <c r="G209" s="17"/>
      <c r="H209" s="17"/>
      <c r="I209" s="18" t="str">
        <f t="shared" si="3"/>
        <v/>
      </c>
      <c r="J209" s="8"/>
    </row>
    <row r="210" spans="1:10" x14ac:dyDescent="0.3">
      <c r="A210" s="9"/>
      <c r="B210" s="8"/>
      <c r="C210" s="10" t="str">
        <f>IFERROR(VLOOKUP(B210,Activos!$A$5:$C$104,3,FALSE),"")</f>
        <v/>
      </c>
      <c r="D210" s="8"/>
      <c r="E210" s="19"/>
      <c r="F210" s="20"/>
      <c r="G210" s="17"/>
      <c r="H210" s="17"/>
      <c r="I210" s="18" t="str">
        <f t="shared" si="3"/>
        <v/>
      </c>
      <c r="J210" s="8"/>
    </row>
    <row r="211" spans="1:10" x14ac:dyDescent="0.3">
      <c r="A211" s="9"/>
      <c r="B211" s="8"/>
      <c r="C211" s="10" t="str">
        <f>IFERROR(VLOOKUP(B211,Activos!$A$5:$C$104,3,FALSE),"")</f>
        <v/>
      </c>
      <c r="D211" s="8"/>
      <c r="E211" s="19"/>
      <c r="F211" s="20"/>
      <c r="G211" s="17"/>
      <c r="H211" s="17"/>
      <c r="I211" s="18" t="str">
        <f t="shared" si="3"/>
        <v/>
      </c>
      <c r="J211" s="8"/>
    </row>
    <row r="212" spans="1:10" x14ac:dyDescent="0.3">
      <c r="A212" s="9"/>
      <c r="B212" s="8"/>
      <c r="C212" s="10" t="str">
        <f>IFERROR(VLOOKUP(B212,Activos!$A$5:$C$104,3,FALSE),"")</f>
        <v/>
      </c>
      <c r="D212" s="8"/>
      <c r="E212" s="19"/>
      <c r="F212" s="20"/>
      <c r="G212" s="17"/>
      <c r="H212" s="17"/>
      <c r="I212" s="18" t="str">
        <f t="shared" si="3"/>
        <v/>
      </c>
      <c r="J212" s="8"/>
    </row>
    <row r="213" spans="1:10" x14ac:dyDescent="0.3">
      <c r="A213" s="9"/>
      <c r="B213" s="8"/>
      <c r="C213" s="10" t="str">
        <f>IFERROR(VLOOKUP(B213,Activos!$A$5:$C$104,3,FALSE),"")</f>
        <v/>
      </c>
      <c r="D213" s="8"/>
      <c r="E213" s="19"/>
      <c r="F213" s="20"/>
      <c r="G213" s="17"/>
      <c r="H213" s="17"/>
      <c r="I213" s="18" t="str">
        <f t="shared" si="3"/>
        <v/>
      </c>
      <c r="J213" s="8"/>
    </row>
    <row r="214" spans="1:10" x14ac:dyDescent="0.3">
      <c r="A214" s="9"/>
      <c r="B214" s="8"/>
      <c r="C214" s="10" t="str">
        <f>IFERROR(VLOOKUP(B214,Activos!$A$5:$C$104,3,FALSE),"")</f>
        <v/>
      </c>
      <c r="D214" s="8"/>
      <c r="E214" s="19"/>
      <c r="F214" s="20"/>
      <c r="G214" s="17"/>
      <c r="H214" s="17"/>
      <c r="I214" s="18" t="str">
        <f t="shared" si="3"/>
        <v/>
      </c>
      <c r="J214" s="8"/>
    </row>
    <row r="215" spans="1:10" x14ac:dyDescent="0.3">
      <c r="A215" s="9"/>
      <c r="B215" s="8"/>
      <c r="C215" s="10" t="str">
        <f>IFERROR(VLOOKUP(B215,Activos!$A$5:$C$104,3,FALSE),"")</f>
        <v/>
      </c>
      <c r="D215" s="8"/>
      <c r="E215" s="19"/>
      <c r="F215" s="20"/>
      <c r="G215" s="17"/>
      <c r="H215" s="17"/>
      <c r="I215" s="18" t="str">
        <f t="shared" si="3"/>
        <v/>
      </c>
      <c r="J215" s="8"/>
    </row>
    <row r="216" spans="1:10" x14ac:dyDescent="0.3">
      <c r="A216" s="9"/>
      <c r="B216" s="8"/>
      <c r="C216" s="10" t="str">
        <f>IFERROR(VLOOKUP(B216,Activos!$A$5:$C$104,3,FALSE),"")</f>
        <v/>
      </c>
      <c r="D216" s="8"/>
      <c r="E216" s="19"/>
      <c r="F216" s="20"/>
      <c r="G216" s="17"/>
      <c r="H216" s="17"/>
      <c r="I216" s="18" t="str">
        <f t="shared" si="3"/>
        <v/>
      </c>
      <c r="J216" s="8"/>
    </row>
    <row r="217" spans="1:10" x14ac:dyDescent="0.3">
      <c r="A217" s="9"/>
      <c r="B217" s="8"/>
      <c r="C217" s="10" t="str">
        <f>IFERROR(VLOOKUP(B217,Activos!$A$5:$C$104,3,FALSE),"")</f>
        <v/>
      </c>
      <c r="D217" s="8"/>
      <c r="E217" s="19"/>
      <c r="F217" s="20"/>
      <c r="G217" s="17"/>
      <c r="H217" s="17"/>
      <c r="I217" s="18" t="str">
        <f t="shared" si="3"/>
        <v/>
      </c>
      <c r="J217" s="8"/>
    </row>
    <row r="218" spans="1:10" x14ac:dyDescent="0.3">
      <c r="A218" s="9"/>
      <c r="B218" s="8"/>
      <c r="C218" s="10" t="str">
        <f>IFERROR(VLOOKUP(B218,Activos!$A$5:$C$104,3,FALSE),"")</f>
        <v/>
      </c>
      <c r="D218" s="8"/>
      <c r="E218" s="19"/>
      <c r="F218" s="20"/>
      <c r="G218" s="17"/>
      <c r="H218" s="17"/>
      <c r="I218" s="18" t="str">
        <f t="shared" si="3"/>
        <v/>
      </c>
      <c r="J218" s="8"/>
    </row>
    <row r="219" spans="1:10" x14ac:dyDescent="0.3">
      <c r="A219" s="9"/>
      <c r="B219" s="8"/>
      <c r="C219" s="10" t="str">
        <f>IFERROR(VLOOKUP(B219,Activos!$A$5:$C$104,3,FALSE),"")</f>
        <v/>
      </c>
      <c r="D219" s="8"/>
      <c r="E219" s="19"/>
      <c r="F219" s="20"/>
      <c r="G219" s="17"/>
      <c r="H219" s="17"/>
      <c r="I219" s="18" t="str">
        <f t="shared" si="3"/>
        <v/>
      </c>
      <c r="J219" s="8"/>
    </row>
    <row r="220" spans="1:10" x14ac:dyDescent="0.3">
      <c r="A220" s="9"/>
      <c r="B220" s="8"/>
      <c r="C220" s="10" t="str">
        <f>IFERROR(VLOOKUP(B220,Activos!$A$5:$C$104,3,FALSE),"")</f>
        <v/>
      </c>
      <c r="D220" s="8"/>
      <c r="E220" s="19"/>
      <c r="F220" s="20"/>
      <c r="G220" s="17"/>
      <c r="H220" s="17"/>
      <c r="I220" s="18" t="str">
        <f t="shared" si="3"/>
        <v/>
      </c>
      <c r="J220" s="8"/>
    </row>
    <row r="221" spans="1:10" x14ac:dyDescent="0.3">
      <c r="A221" s="9"/>
      <c r="B221" s="8"/>
      <c r="C221" s="10" t="str">
        <f>IFERROR(VLOOKUP(B221,Activos!$A$5:$C$104,3,FALSE),"")</f>
        <v/>
      </c>
      <c r="D221" s="8"/>
      <c r="E221" s="19"/>
      <c r="F221" s="20"/>
      <c r="G221" s="17"/>
      <c r="H221" s="17"/>
      <c r="I221" s="18" t="str">
        <f t="shared" si="3"/>
        <v/>
      </c>
      <c r="J221" s="8"/>
    </row>
    <row r="222" spans="1:10" x14ac:dyDescent="0.3">
      <c r="A222" s="9"/>
      <c r="B222" s="8"/>
      <c r="C222" s="10" t="str">
        <f>IFERROR(VLOOKUP(B222,Activos!$A$5:$C$104,3,FALSE),"")</f>
        <v/>
      </c>
      <c r="D222" s="8"/>
      <c r="E222" s="19"/>
      <c r="F222" s="20"/>
      <c r="G222" s="17"/>
      <c r="H222" s="17"/>
      <c r="I222" s="18" t="str">
        <f t="shared" si="3"/>
        <v/>
      </c>
      <c r="J222" s="8"/>
    </row>
    <row r="223" spans="1:10" x14ac:dyDescent="0.3">
      <c r="A223" s="9"/>
      <c r="B223" s="8"/>
      <c r="C223" s="10" t="str">
        <f>IFERROR(VLOOKUP(B223,Activos!$A$5:$C$104,3,FALSE),"")</f>
        <v/>
      </c>
      <c r="D223" s="8"/>
      <c r="E223" s="19"/>
      <c r="F223" s="20"/>
      <c r="G223" s="17"/>
      <c r="H223" s="17"/>
      <c r="I223" s="18" t="str">
        <f t="shared" si="3"/>
        <v/>
      </c>
      <c r="J223" s="8"/>
    </row>
    <row r="224" spans="1:10" x14ac:dyDescent="0.3">
      <c r="A224" s="9"/>
      <c r="B224" s="8"/>
      <c r="C224" s="10" t="str">
        <f>IFERROR(VLOOKUP(B224,Activos!$A$5:$C$104,3,FALSE),"")</f>
        <v/>
      </c>
      <c r="D224" s="8"/>
      <c r="E224" s="19"/>
      <c r="F224" s="20"/>
      <c r="G224" s="17"/>
      <c r="H224" s="17"/>
      <c r="I224" s="18" t="str">
        <f t="shared" si="3"/>
        <v/>
      </c>
      <c r="J224" s="8"/>
    </row>
    <row r="225" spans="1:10" x14ac:dyDescent="0.3">
      <c r="A225" s="9"/>
      <c r="B225" s="8"/>
      <c r="C225" s="10" t="str">
        <f>IFERROR(VLOOKUP(B225,Activos!$A$5:$C$104,3,FALSE),"")</f>
        <v/>
      </c>
      <c r="D225" s="8"/>
      <c r="E225" s="19"/>
      <c r="F225" s="20"/>
      <c r="G225" s="17"/>
      <c r="H225" s="17"/>
      <c r="I225" s="18" t="str">
        <f t="shared" si="3"/>
        <v/>
      </c>
      <c r="J225" s="8"/>
    </row>
    <row r="226" spans="1:10" x14ac:dyDescent="0.3">
      <c r="A226" s="9"/>
      <c r="B226" s="8"/>
      <c r="C226" s="10" t="str">
        <f>IFERROR(VLOOKUP(B226,Activos!$A$5:$C$104,3,FALSE),"")</f>
        <v/>
      </c>
      <c r="D226" s="8"/>
      <c r="E226" s="19"/>
      <c r="F226" s="20"/>
      <c r="G226" s="17"/>
      <c r="H226" s="17"/>
      <c r="I226" s="18" t="str">
        <f t="shared" si="3"/>
        <v/>
      </c>
      <c r="J226" s="8"/>
    </row>
    <row r="227" spans="1:10" x14ac:dyDescent="0.3">
      <c r="A227" s="9"/>
      <c r="B227" s="8"/>
      <c r="C227" s="10" t="str">
        <f>IFERROR(VLOOKUP(B227,Activos!$A$5:$C$104,3,FALSE),"")</f>
        <v/>
      </c>
      <c r="D227" s="8"/>
      <c r="E227" s="19"/>
      <c r="F227" s="20"/>
      <c r="G227" s="17"/>
      <c r="H227" s="17"/>
      <c r="I227" s="18" t="str">
        <f t="shared" si="3"/>
        <v/>
      </c>
      <c r="J227" s="8"/>
    </row>
    <row r="228" spans="1:10" x14ac:dyDescent="0.3">
      <c r="A228" s="9"/>
      <c r="B228" s="8"/>
      <c r="C228" s="10" t="str">
        <f>IFERROR(VLOOKUP(B228,Activos!$A$5:$C$104,3,FALSE),"")</f>
        <v/>
      </c>
      <c r="D228" s="8"/>
      <c r="E228" s="19"/>
      <c r="F228" s="20"/>
      <c r="G228" s="17"/>
      <c r="H228" s="17"/>
      <c r="I228" s="18" t="str">
        <f t="shared" si="3"/>
        <v/>
      </c>
      <c r="J228" s="8"/>
    </row>
    <row r="229" spans="1:10" x14ac:dyDescent="0.3">
      <c r="A229" s="9"/>
      <c r="B229" s="8"/>
      <c r="C229" s="10" t="str">
        <f>IFERROR(VLOOKUP(B229,Activos!$A$5:$C$104,3,FALSE),"")</f>
        <v/>
      </c>
      <c r="D229" s="8"/>
      <c r="E229" s="19"/>
      <c r="F229" s="20"/>
      <c r="G229" s="17"/>
      <c r="H229" s="17"/>
      <c r="I229" s="18" t="str">
        <f t="shared" si="3"/>
        <v/>
      </c>
      <c r="J229" s="8"/>
    </row>
    <row r="230" spans="1:10" x14ac:dyDescent="0.3">
      <c r="A230" s="9"/>
      <c r="B230" s="8"/>
      <c r="C230" s="10" t="str">
        <f>IFERROR(VLOOKUP(B230,Activos!$A$5:$C$104,3,FALSE),"")</f>
        <v/>
      </c>
      <c r="D230" s="8"/>
      <c r="E230" s="19"/>
      <c r="F230" s="20"/>
      <c r="G230" s="17"/>
      <c r="H230" s="17"/>
      <c r="I230" s="18" t="str">
        <f t="shared" si="3"/>
        <v/>
      </c>
      <c r="J230" s="8"/>
    </row>
    <row r="231" spans="1:10" x14ac:dyDescent="0.3">
      <c r="A231" s="9"/>
      <c r="B231" s="8"/>
      <c r="C231" s="10" t="str">
        <f>IFERROR(VLOOKUP(B231,Activos!$A$5:$C$104,3,FALSE),"")</f>
        <v/>
      </c>
      <c r="D231" s="8"/>
      <c r="E231" s="19"/>
      <c r="F231" s="20"/>
      <c r="G231" s="17"/>
      <c r="H231" s="17"/>
      <c r="I231" s="18" t="str">
        <f t="shared" si="3"/>
        <v/>
      </c>
      <c r="J231" s="8"/>
    </row>
    <row r="232" spans="1:10" x14ac:dyDescent="0.3">
      <c r="A232" s="9"/>
      <c r="B232" s="8"/>
      <c r="C232" s="10" t="str">
        <f>IFERROR(VLOOKUP(B232,Activos!$A$5:$C$104,3,FALSE),"")</f>
        <v/>
      </c>
      <c r="D232" s="8"/>
      <c r="E232" s="19"/>
      <c r="F232" s="20"/>
      <c r="G232" s="17"/>
      <c r="H232" s="17"/>
      <c r="I232" s="18" t="str">
        <f t="shared" si="3"/>
        <v/>
      </c>
      <c r="J232" s="8"/>
    </row>
    <row r="233" spans="1:10" x14ac:dyDescent="0.3">
      <c r="A233" s="9"/>
      <c r="B233" s="8"/>
      <c r="C233" s="10" t="str">
        <f>IFERROR(VLOOKUP(B233,Activos!$A$5:$C$104,3,FALSE),"")</f>
        <v/>
      </c>
      <c r="D233" s="8"/>
      <c r="E233" s="19"/>
      <c r="F233" s="20"/>
      <c r="G233" s="17"/>
      <c r="H233" s="17"/>
      <c r="I233" s="18" t="str">
        <f t="shared" si="3"/>
        <v/>
      </c>
      <c r="J233" s="8"/>
    </row>
    <row r="234" spans="1:10" x14ac:dyDescent="0.3">
      <c r="A234" s="9"/>
      <c r="B234" s="8"/>
      <c r="C234" s="10" t="str">
        <f>IFERROR(VLOOKUP(B234,Activos!$A$5:$C$104,3,FALSE),"")</f>
        <v/>
      </c>
      <c r="D234" s="8"/>
      <c r="E234" s="19"/>
      <c r="F234" s="20"/>
      <c r="G234" s="17"/>
      <c r="H234" s="17"/>
      <c r="I234" s="18" t="str">
        <f t="shared" si="3"/>
        <v/>
      </c>
      <c r="J234" s="8"/>
    </row>
    <row r="235" spans="1:10" x14ac:dyDescent="0.3">
      <c r="A235" s="9"/>
      <c r="B235" s="8"/>
      <c r="C235" s="10" t="str">
        <f>IFERROR(VLOOKUP(B235,Activos!$A$5:$C$104,3,FALSE),"")</f>
        <v/>
      </c>
      <c r="D235" s="8"/>
      <c r="E235" s="19"/>
      <c r="F235" s="20"/>
      <c r="G235" s="17"/>
      <c r="H235" s="17"/>
      <c r="I235" s="18" t="str">
        <f t="shared" si="3"/>
        <v/>
      </c>
      <c r="J235" s="8"/>
    </row>
    <row r="236" spans="1:10" x14ac:dyDescent="0.3">
      <c r="A236" s="9"/>
      <c r="B236" s="8"/>
      <c r="C236" s="10" t="str">
        <f>IFERROR(VLOOKUP(B236,Activos!$A$5:$C$104,3,FALSE),"")</f>
        <v/>
      </c>
      <c r="D236" s="8"/>
      <c r="E236" s="19"/>
      <c r="F236" s="20"/>
      <c r="G236" s="17"/>
      <c r="H236" s="17"/>
      <c r="I236" s="18" t="str">
        <f t="shared" si="3"/>
        <v/>
      </c>
      <c r="J236" s="8"/>
    </row>
    <row r="237" spans="1:10" x14ac:dyDescent="0.3">
      <c r="A237" s="9"/>
      <c r="B237" s="8"/>
      <c r="C237" s="10" t="str">
        <f>IFERROR(VLOOKUP(B237,Activos!$A$5:$C$104,3,FALSE),"")</f>
        <v/>
      </c>
      <c r="D237" s="8"/>
      <c r="E237" s="19"/>
      <c r="F237" s="20"/>
      <c r="G237" s="17"/>
      <c r="H237" s="17"/>
      <c r="I237" s="18" t="str">
        <f t="shared" si="3"/>
        <v/>
      </c>
      <c r="J237" s="8"/>
    </row>
    <row r="238" spans="1:10" x14ac:dyDescent="0.3">
      <c r="A238" s="9"/>
      <c r="B238" s="8"/>
      <c r="C238" s="10" t="str">
        <f>IFERROR(VLOOKUP(B238,Activos!$A$5:$C$104,3,FALSE),"")</f>
        <v/>
      </c>
      <c r="D238" s="8"/>
      <c r="E238" s="19"/>
      <c r="F238" s="20"/>
      <c r="G238" s="17"/>
      <c r="H238" s="17"/>
      <c r="I238" s="18" t="str">
        <f t="shared" si="3"/>
        <v/>
      </c>
      <c r="J238" s="8"/>
    </row>
    <row r="239" spans="1:10" x14ac:dyDescent="0.3">
      <c r="A239" s="9"/>
      <c r="B239" s="8"/>
      <c r="C239" s="10" t="str">
        <f>IFERROR(VLOOKUP(B239,Activos!$A$5:$C$104,3,FALSE),"")</f>
        <v/>
      </c>
      <c r="D239" s="8"/>
      <c r="E239" s="19"/>
      <c r="F239" s="20"/>
      <c r="G239" s="17"/>
      <c r="H239" s="17"/>
      <c r="I239" s="18" t="str">
        <f t="shared" si="3"/>
        <v/>
      </c>
      <c r="J239" s="8"/>
    </row>
    <row r="240" spans="1:10" x14ac:dyDescent="0.3">
      <c r="A240" s="9"/>
      <c r="B240" s="8"/>
      <c r="C240" s="10" t="str">
        <f>IFERROR(VLOOKUP(B240,Activos!$A$5:$C$104,3,FALSE),"")</f>
        <v/>
      </c>
      <c r="D240" s="8"/>
      <c r="E240" s="19"/>
      <c r="F240" s="20"/>
      <c r="G240" s="17"/>
      <c r="H240" s="17"/>
      <c r="I240" s="18" t="str">
        <f t="shared" si="3"/>
        <v/>
      </c>
      <c r="J240" s="8"/>
    </row>
    <row r="241" spans="1:10" x14ac:dyDescent="0.3">
      <c r="A241" s="9"/>
      <c r="B241" s="8"/>
      <c r="C241" s="10" t="str">
        <f>IFERROR(VLOOKUP(B241,Activos!$A$5:$C$104,3,FALSE),"")</f>
        <v/>
      </c>
      <c r="D241" s="8"/>
      <c r="E241" s="19"/>
      <c r="F241" s="20"/>
      <c r="G241" s="17"/>
      <c r="H241" s="17"/>
      <c r="I241" s="18" t="str">
        <f t="shared" si="3"/>
        <v/>
      </c>
      <c r="J241" s="8"/>
    </row>
    <row r="242" spans="1:10" x14ac:dyDescent="0.3">
      <c r="A242" s="9"/>
      <c r="B242" s="8"/>
      <c r="C242" s="10" t="str">
        <f>IFERROR(VLOOKUP(B242,Activos!$A$5:$C$104,3,FALSE),"")</f>
        <v/>
      </c>
      <c r="D242" s="8"/>
      <c r="E242" s="19"/>
      <c r="F242" s="20"/>
      <c r="G242" s="17"/>
      <c r="H242" s="17"/>
      <c r="I242" s="18" t="str">
        <f t="shared" si="3"/>
        <v/>
      </c>
      <c r="J242" s="8"/>
    </row>
    <row r="243" spans="1:10" x14ac:dyDescent="0.3">
      <c r="A243" s="9"/>
      <c r="B243" s="8"/>
      <c r="C243" s="10" t="str">
        <f>IFERROR(VLOOKUP(B243,Activos!$A$5:$C$104,3,FALSE),"")</f>
        <v/>
      </c>
      <c r="D243" s="8"/>
      <c r="E243" s="19"/>
      <c r="F243" s="20"/>
      <c r="G243" s="17"/>
      <c r="H243" s="17"/>
      <c r="I243" s="18" t="str">
        <f t="shared" si="3"/>
        <v/>
      </c>
      <c r="J243" s="8"/>
    </row>
    <row r="244" spans="1:10" x14ac:dyDescent="0.3">
      <c r="A244" s="9"/>
      <c r="B244" s="8"/>
      <c r="C244" s="10" t="str">
        <f>IFERROR(VLOOKUP(B244,Activos!$A$5:$C$104,3,FALSE),"")</f>
        <v/>
      </c>
      <c r="D244" s="8"/>
      <c r="E244" s="19"/>
      <c r="F244" s="20"/>
      <c r="G244" s="17"/>
      <c r="H244" s="17"/>
      <c r="I244" s="18" t="str">
        <f t="shared" si="3"/>
        <v/>
      </c>
      <c r="J244" s="8"/>
    </row>
    <row r="245" spans="1:10" x14ac:dyDescent="0.3">
      <c r="A245" s="9"/>
      <c r="B245" s="8"/>
      <c r="C245" s="10" t="str">
        <f>IFERROR(VLOOKUP(B245,Activos!$A$5:$C$104,3,FALSE),"")</f>
        <v/>
      </c>
      <c r="D245" s="8"/>
      <c r="E245" s="19"/>
      <c r="F245" s="20"/>
      <c r="G245" s="17"/>
      <c r="H245" s="17"/>
      <c r="I245" s="18" t="str">
        <f t="shared" si="3"/>
        <v/>
      </c>
      <c r="J245" s="8"/>
    </row>
    <row r="246" spans="1:10" x14ac:dyDescent="0.3">
      <c r="A246" s="9"/>
      <c r="B246" s="8"/>
      <c r="C246" s="10" t="str">
        <f>IFERROR(VLOOKUP(B246,Activos!$A$5:$C$104,3,FALSE),"")</f>
        <v/>
      </c>
      <c r="D246" s="8"/>
      <c r="E246" s="19"/>
      <c r="F246" s="20"/>
      <c r="G246" s="17"/>
      <c r="H246" s="17"/>
      <c r="I246" s="18" t="str">
        <f t="shared" si="3"/>
        <v/>
      </c>
      <c r="J246" s="8"/>
    </row>
    <row r="247" spans="1:10" x14ac:dyDescent="0.3">
      <c r="A247" s="9"/>
      <c r="B247" s="8"/>
      <c r="C247" s="10" t="str">
        <f>IFERROR(VLOOKUP(B247,Activos!$A$5:$C$104,3,FALSE),"")</f>
        <v/>
      </c>
      <c r="D247" s="8"/>
      <c r="E247" s="19"/>
      <c r="F247" s="20"/>
      <c r="G247" s="17"/>
      <c r="H247" s="17"/>
      <c r="I247" s="18" t="str">
        <f t="shared" si="3"/>
        <v/>
      </c>
      <c r="J247" s="8"/>
    </row>
    <row r="248" spans="1:10" x14ac:dyDescent="0.3">
      <c r="A248" s="9"/>
      <c r="B248" s="8"/>
      <c r="C248" s="10" t="str">
        <f>IFERROR(VLOOKUP(B248,Activos!$A$5:$C$104,3,FALSE),"")</f>
        <v/>
      </c>
      <c r="D248" s="8"/>
      <c r="E248" s="19"/>
      <c r="F248" s="20"/>
      <c r="G248" s="17"/>
      <c r="H248" s="17"/>
      <c r="I248" s="18" t="str">
        <f t="shared" si="3"/>
        <v/>
      </c>
      <c r="J248" s="8"/>
    </row>
    <row r="249" spans="1:10" x14ac:dyDescent="0.3">
      <c r="A249" s="9"/>
      <c r="B249" s="8"/>
      <c r="C249" s="10" t="str">
        <f>IFERROR(VLOOKUP(B249,Activos!$A$5:$C$104,3,FALSE),"")</f>
        <v/>
      </c>
      <c r="D249" s="8"/>
      <c r="E249" s="19"/>
      <c r="F249" s="20"/>
      <c r="G249" s="17"/>
      <c r="H249" s="17"/>
      <c r="I249" s="18" t="str">
        <f t="shared" si="3"/>
        <v/>
      </c>
      <c r="J249" s="8"/>
    </row>
    <row r="250" spans="1:10" x14ac:dyDescent="0.3">
      <c r="A250" s="9"/>
      <c r="B250" s="8"/>
      <c r="C250" s="10" t="str">
        <f>IFERROR(VLOOKUP(B250,Activos!$A$5:$C$104,3,FALSE),"")</f>
        <v/>
      </c>
      <c r="D250" s="8"/>
      <c r="E250" s="19"/>
      <c r="F250" s="20"/>
      <c r="G250" s="17"/>
      <c r="H250" s="17"/>
      <c r="I250" s="18" t="str">
        <f t="shared" si="3"/>
        <v/>
      </c>
      <c r="J250" s="8"/>
    </row>
    <row r="251" spans="1:10" x14ac:dyDescent="0.3">
      <c r="A251" s="9"/>
      <c r="B251" s="8"/>
      <c r="C251" s="10" t="str">
        <f>IFERROR(VLOOKUP(B251,Activos!$A$5:$C$104,3,FALSE),"")</f>
        <v/>
      </c>
      <c r="D251" s="8"/>
      <c r="E251" s="19"/>
      <c r="F251" s="20"/>
      <c r="G251" s="17"/>
      <c r="H251" s="17"/>
      <c r="I251" s="18" t="str">
        <f t="shared" si="3"/>
        <v/>
      </c>
      <c r="J251" s="8"/>
    </row>
    <row r="252" spans="1:10" x14ac:dyDescent="0.3">
      <c r="A252" s="9"/>
      <c r="B252" s="8"/>
      <c r="C252" s="10" t="str">
        <f>IFERROR(VLOOKUP(B252,Activos!$A$5:$C$104,3,FALSE),"")</f>
        <v/>
      </c>
      <c r="D252" s="8"/>
      <c r="E252" s="19"/>
      <c r="F252" s="20"/>
      <c r="G252" s="17"/>
      <c r="H252" s="17"/>
      <c r="I252" s="18" t="str">
        <f t="shared" si="3"/>
        <v/>
      </c>
      <c r="J252" s="8"/>
    </row>
    <row r="253" spans="1:10" x14ac:dyDescent="0.3">
      <c r="A253" s="9"/>
      <c r="B253" s="8"/>
      <c r="C253" s="10" t="str">
        <f>IFERROR(VLOOKUP(B253,Activos!$A$5:$C$104,3,FALSE),"")</f>
        <v/>
      </c>
      <c r="D253" s="8"/>
      <c r="E253" s="19"/>
      <c r="F253" s="20"/>
      <c r="G253" s="17"/>
      <c r="H253" s="17"/>
      <c r="I253" s="18" t="str">
        <f t="shared" si="3"/>
        <v/>
      </c>
      <c r="J253" s="8"/>
    </row>
    <row r="254" spans="1:10" x14ac:dyDescent="0.3">
      <c r="A254" s="9"/>
      <c r="B254" s="8"/>
      <c r="C254" s="10" t="str">
        <f>IFERROR(VLOOKUP(B254,Activos!$A$5:$C$104,3,FALSE),"")</f>
        <v/>
      </c>
      <c r="D254" s="8"/>
      <c r="E254" s="19"/>
      <c r="F254" s="20"/>
      <c r="G254" s="17"/>
      <c r="H254" s="17"/>
      <c r="I254" s="18" t="str">
        <f t="shared" si="3"/>
        <v/>
      </c>
      <c r="J254" s="8"/>
    </row>
    <row r="255" spans="1:10" x14ac:dyDescent="0.3">
      <c r="A255" s="9"/>
      <c r="B255" s="8"/>
      <c r="C255" s="10" t="str">
        <f>IFERROR(VLOOKUP(B255,Activos!$A$5:$C$104,3,FALSE),"")</f>
        <v/>
      </c>
      <c r="D255" s="8"/>
      <c r="E255" s="19"/>
      <c r="F255" s="20"/>
      <c r="G255" s="17"/>
      <c r="H255" s="17"/>
      <c r="I255" s="18" t="str">
        <f t="shared" si="3"/>
        <v/>
      </c>
      <c r="J255" s="8"/>
    </row>
    <row r="256" spans="1:10" x14ac:dyDescent="0.3">
      <c r="A256" s="9"/>
      <c r="B256" s="8"/>
      <c r="C256" s="10" t="str">
        <f>IFERROR(VLOOKUP(B256,Activos!$A$5:$C$104,3,FALSE),"")</f>
        <v/>
      </c>
      <c r="D256" s="8"/>
      <c r="E256" s="19"/>
      <c r="F256" s="20"/>
      <c r="G256" s="17"/>
      <c r="H256" s="17"/>
      <c r="I256" s="18" t="str">
        <f t="shared" si="3"/>
        <v/>
      </c>
      <c r="J256" s="8"/>
    </row>
    <row r="257" spans="1:10" x14ac:dyDescent="0.3">
      <c r="A257" s="9"/>
      <c r="B257" s="8"/>
      <c r="C257" s="10" t="str">
        <f>IFERROR(VLOOKUP(B257,Activos!$A$5:$C$104,3,FALSE),"")</f>
        <v/>
      </c>
      <c r="D257" s="8"/>
      <c r="E257" s="19"/>
      <c r="F257" s="20"/>
      <c r="G257" s="17"/>
      <c r="H257" s="17"/>
      <c r="I257" s="18" t="str">
        <f t="shared" si="3"/>
        <v/>
      </c>
      <c r="J257" s="8"/>
    </row>
    <row r="258" spans="1:10" x14ac:dyDescent="0.3">
      <c r="A258" s="9"/>
      <c r="B258" s="8"/>
      <c r="C258" s="10" t="str">
        <f>IFERROR(VLOOKUP(B258,Activos!$A$5:$C$104,3,FALSE),"")</f>
        <v/>
      </c>
      <c r="D258" s="8"/>
      <c r="E258" s="19"/>
      <c r="F258" s="20"/>
      <c r="G258" s="17"/>
      <c r="H258" s="17"/>
      <c r="I258" s="18" t="str">
        <f t="shared" si="3"/>
        <v/>
      </c>
      <c r="J258" s="8"/>
    </row>
    <row r="259" spans="1:10" x14ac:dyDescent="0.3">
      <c r="A259" s="9"/>
      <c r="B259" s="8"/>
      <c r="C259" s="10" t="str">
        <f>IFERROR(VLOOKUP(B259,Activos!$A$5:$C$104,3,FALSE),"")</f>
        <v/>
      </c>
      <c r="D259" s="8"/>
      <c r="E259" s="19"/>
      <c r="F259" s="20"/>
      <c r="G259" s="17"/>
      <c r="H259" s="17"/>
      <c r="I259" s="18" t="str">
        <f t="shared" si="3"/>
        <v/>
      </c>
      <c r="J259" s="8"/>
    </row>
    <row r="260" spans="1:10" x14ac:dyDescent="0.3">
      <c r="A260" s="9"/>
      <c r="B260" s="8"/>
      <c r="C260" s="10" t="str">
        <f>IFERROR(VLOOKUP(B260,Activos!$A$5:$C$104,3,FALSE),"")</f>
        <v/>
      </c>
      <c r="D260" s="8"/>
      <c r="E260" s="19"/>
      <c r="F260" s="20"/>
      <c r="G260" s="17"/>
      <c r="H260" s="17"/>
      <c r="I260" s="18" t="str">
        <f t="shared" si="3"/>
        <v/>
      </c>
      <c r="J260" s="8"/>
    </row>
    <row r="261" spans="1:10" x14ac:dyDescent="0.3">
      <c r="A261" s="9"/>
      <c r="B261" s="8"/>
      <c r="C261" s="10" t="str">
        <f>IFERROR(VLOOKUP(B261,Activos!$A$5:$C$104,3,FALSE),"")</f>
        <v/>
      </c>
      <c r="D261" s="8"/>
      <c r="E261" s="19"/>
      <c r="F261" s="20"/>
      <c r="G261" s="17"/>
      <c r="H261" s="17"/>
      <c r="I261" s="18" t="str">
        <f t="shared" ref="I261:I324" si="4">IF(OR(D261="",G261=""),"",IF(D261="COMPRA",-G261-IF(H261="",0,H261),IF(D261="VENTA",G261-IF(H261="",0,H261),"")))</f>
        <v/>
      </c>
      <c r="J261" s="8"/>
    </row>
    <row r="262" spans="1:10" x14ac:dyDescent="0.3">
      <c r="A262" s="9"/>
      <c r="B262" s="8"/>
      <c r="C262" s="10" t="str">
        <f>IFERROR(VLOOKUP(B262,Activos!$A$5:$C$104,3,FALSE),"")</f>
        <v/>
      </c>
      <c r="D262" s="8"/>
      <c r="E262" s="19"/>
      <c r="F262" s="20"/>
      <c r="G262" s="17"/>
      <c r="H262" s="17"/>
      <c r="I262" s="18" t="str">
        <f t="shared" si="4"/>
        <v/>
      </c>
      <c r="J262" s="8"/>
    </row>
    <row r="263" spans="1:10" x14ac:dyDescent="0.3">
      <c r="A263" s="9"/>
      <c r="B263" s="8"/>
      <c r="C263" s="10" t="str">
        <f>IFERROR(VLOOKUP(B263,Activos!$A$5:$C$104,3,FALSE),"")</f>
        <v/>
      </c>
      <c r="D263" s="8"/>
      <c r="E263" s="19"/>
      <c r="F263" s="20"/>
      <c r="G263" s="17"/>
      <c r="H263" s="17"/>
      <c r="I263" s="18" t="str">
        <f t="shared" si="4"/>
        <v/>
      </c>
      <c r="J263" s="8"/>
    </row>
    <row r="264" spans="1:10" x14ac:dyDescent="0.3">
      <c r="A264" s="9"/>
      <c r="B264" s="8"/>
      <c r="C264" s="10" t="str">
        <f>IFERROR(VLOOKUP(B264,Activos!$A$5:$C$104,3,FALSE),"")</f>
        <v/>
      </c>
      <c r="D264" s="8"/>
      <c r="E264" s="19"/>
      <c r="F264" s="20"/>
      <c r="G264" s="17"/>
      <c r="H264" s="17"/>
      <c r="I264" s="18" t="str">
        <f t="shared" si="4"/>
        <v/>
      </c>
      <c r="J264" s="8"/>
    </row>
    <row r="265" spans="1:10" x14ac:dyDescent="0.3">
      <c r="A265" s="9"/>
      <c r="B265" s="8"/>
      <c r="C265" s="10" t="str">
        <f>IFERROR(VLOOKUP(B265,Activos!$A$5:$C$104,3,FALSE),"")</f>
        <v/>
      </c>
      <c r="D265" s="8"/>
      <c r="E265" s="19"/>
      <c r="F265" s="20"/>
      <c r="G265" s="17"/>
      <c r="H265" s="17"/>
      <c r="I265" s="18" t="str">
        <f t="shared" si="4"/>
        <v/>
      </c>
      <c r="J265" s="8"/>
    </row>
    <row r="266" spans="1:10" x14ac:dyDescent="0.3">
      <c r="A266" s="9"/>
      <c r="B266" s="8"/>
      <c r="C266" s="10" t="str">
        <f>IFERROR(VLOOKUP(B266,Activos!$A$5:$C$104,3,FALSE),"")</f>
        <v/>
      </c>
      <c r="D266" s="8"/>
      <c r="E266" s="19"/>
      <c r="F266" s="20"/>
      <c r="G266" s="17"/>
      <c r="H266" s="17"/>
      <c r="I266" s="18" t="str">
        <f t="shared" si="4"/>
        <v/>
      </c>
      <c r="J266" s="8"/>
    </row>
    <row r="267" spans="1:10" x14ac:dyDescent="0.3">
      <c r="A267" s="9"/>
      <c r="B267" s="8"/>
      <c r="C267" s="10" t="str">
        <f>IFERROR(VLOOKUP(B267,Activos!$A$5:$C$104,3,FALSE),"")</f>
        <v/>
      </c>
      <c r="D267" s="8"/>
      <c r="E267" s="19"/>
      <c r="F267" s="20"/>
      <c r="G267" s="17"/>
      <c r="H267" s="17"/>
      <c r="I267" s="18" t="str">
        <f t="shared" si="4"/>
        <v/>
      </c>
      <c r="J267" s="8"/>
    </row>
    <row r="268" spans="1:10" x14ac:dyDescent="0.3">
      <c r="A268" s="9"/>
      <c r="B268" s="8"/>
      <c r="C268" s="10" t="str">
        <f>IFERROR(VLOOKUP(B268,Activos!$A$5:$C$104,3,FALSE),"")</f>
        <v/>
      </c>
      <c r="D268" s="8"/>
      <c r="E268" s="19"/>
      <c r="F268" s="20"/>
      <c r="G268" s="17"/>
      <c r="H268" s="17"/>
      <c r="I268" s="18" t="str">
        <f t="shared" si="4"/>
        <v/>
      </c>
      <c r="J268" s="8"/>
    </row>
    <row r="269" spans="1:10" x14ac:dyDescent="0.3">
      <c r="A269" s="9"/>
      <c r="B269" s="8"/>
      <c r="C269" s="10" t="str">
        <f>IFERROR(VLOOKUP(B269,Activos!$A$5:$C$104,3,FALSE),"")</f>
        <v/>
      </c>
      <c r="D269" s="8"/>
      <c r="E269" s="19"/>
      <c r="F269" s="20"/>
      <c r="G269" s="17"/>
      <c r="H269" s="17"/>
      <c r="I269" s="18" t="str">
        <f t="shared" si="4"/>
        <v/>
      </c>
      <c r="J269" s="8"/>
    </row>
    <row r="270" spans="1:10" x14ac:dyDescent="0.3">
      <c r="A270" s="9"/>
      <c r="B270" s="8"/>
      <c r="C270" s="10" t="str">
        <f>IFERROR(VLOOKUP(B270,Activos!$A$5:$C$104,3,FALSE),"")</f>
        <v/>
      </c>
      <c r="D270" s="8"/>
      <c r="E270" s="19"/>
      <c r="F270" s="20"/>
      <c r="G270" s="17"/>
      <c r="H270" s="17"/>
      <c r="I270" s="18" t="str">
        <f t="shared" si="4"/>
        <v/>
      </c>
      <c r="J270" s="8"/>
    </row>
    <row r="271" spans="1:10" x14ac:dyDescent="0.3">
      <c r="A271" s="9"/>
      <c r="B271" s="8"/>
      <c r="C271" s="10" t="str">
        <f>IFERROR(VLOOKUP(B271,Activos!$A$5:$C$104,3,FALSE),"")</f>
        <v/>
      </c>
      <c r="D271" s="8"/>
      <c r="E271" s="19"/>
      <c r="F271" s="20"/>
      <c r="G271" s="17"/>
      <c r="H271" s="17"/>
      <c r="I271" s="18" t="str">
        <f t="shared" si="4"/>
        <v/>
      </c>
      <c r="J271" s="8"/>
    </row>
    <row r="272" spans="1:10" x14ac:dyDescent="0.3">
      <c r="A272" s="9"/>
      <c r="B272" s="8"/>
      <c r="C272" s="10" t="str">
        <f>IFERROR(VLOOKUP(B272,Activos!$A$5:$C$104,3,FALSE),"")</f>
        <v/>
      </c>
      <c r="D272" s="8"/>
      <c r="E272" s="19"/>
      <c r="F272" s="20"/>
      <c r="G272" s="17"/>
      <c r="H272" s="17"/>
      <c r="I272" s="18" t="str">
        <f t="shared" si="4"/>
        <v/>
      </c>
      <c r="J272" s="8"/>
    </row>
    <row r="273" spans="1:10" x14ac:dyDescent="0.3">
      <c r="A273" s="9"/>
      <c r="B273" s="8"/>
      <c r="C273" s="10" t="str">
        <f>IFERROR(VLOOKUP(B273,Activos!$A$5:$C$104,3,FALSE),"")</f>
        <v/>
      </c>
      <c r="D273" s="8"/>
      <c r="E273" s="19"/>
      <c r="F273" s="20"/>
      <c r="G273" s="17"/>
      <c r="H273" s="17"/>
      <c r="I273" s="18" t="str">
        <f t="shared" si="4"/>
        <v/>
      </c>
      <c r="J273" s="8"/>
    </row>
    <row r="274" spans="1:10" x14ac:dyDescent="0.3">
      <c r="A274" s="9"/>
      <c r="B274" s="8"/>
      <c r="C274" s="10" t="str">
        <f>IFERROR(VLOOKUP(B274,Activos!$A$5:$C$104,3,FALSE),"")</f>
        <v/>
      </c>
      <c r="D274" s="8"/>
      <c r="E274" s="19"/>
      <c r="F274" s="20"/>
      <c r="G274" s="17"/>
      <c r="H274" s="17"/>
      <c r="I274" s="18" t="str">
        <f t="shared" si="4"/>
        <v/>
      </c>
      <c r="J274" s="8"/>
    </row>
    <row r="275" spans="1:10" x14ac:dyDescent="0.3">
      <c r="A275" s="9"/>
      <c r="B275" s="8"/>
      <c r="C275" s="10" t="str">
        <f>IFERROR(VLOOKUP(B275,Activos!$A$5:$C$104,3,FALSE),"")</f>
        <v/>
      </c>
      <c r="D275" s="8"/>
      <c r="E275" s="19"/>
      <c r="F275" s="20"/>
      <c r="G275" s="17"/>
      <c r="H275" s="17"/>
      <c r="I275" s="18" t="str">
        <f t="shared" si="4"/>
        <v/>
      </c>
      <c r="J275" s="8"/>
    </row>
    <row r="276" spans="1:10" x14ac:dyDescent="0.3">
      <c r="A276" s="9"/>
      <c r="B276" s="8"/>
      <c r="C276" s="10" t="str">
        <f>IFERROR(VLOOKUP(B276,Activos!$A$5:$C$104,3,FALSE),"")</f>
        <v/>
      </c>
      <c r="D276" s="8"/>
      <c r="E276" s="19"/>
      <c r="F276" s="20"/>
      <c r="G276" s="17"/>
      <c r="H276" s="17"/>
      <c r="I276" s="18" t="str">
        <f t="shared" si="4"/>
        <v/>
      </c>
      <c r="J276" s="8"/>
    </row>
    <row r="277" spans="1:10" x14ac:dyDescent="0.3">
      <c r="A277" s="9"/>
      <c r="B277" s="8"/>
      <c r="C277" s="10" t="str">
        <f>IFERROR(VLOOKUP(B277,Activos!$A$5:$C$104,3,FALSE),"")</f>
        <v/>
      </c>
      <c r="D277" s="8"/>
      <c r="E277" s="19"/>
      <c r="F277" s="20"/>
      <c r="G277" s="17"/>
      <c r="H277" s="17"/>
      <c r="I277" s="18" t="str">
        <f t="shared" si="4"/>
        <v/>
      </c>
      <c r="J277" s="8"/>
    </row>
    <row r="278" spans="1:10" x14ac:dyDescent="0.3">
      <c r="A278" s="9"/>
      <c r="B278" s="8"/>
      <c r="C278" s="10" t="str">
        <f>IFERROR(VLOOKUP(B278,Activos!$A$5:$C$104,3,FALSE),"")</f>
        <v/>
      </c>
      <c r="D278" s="8"/>
      <c r="E278" s="19"/>
      <c r="F278" s="20"/>
      <c r="G278" s="17"/>
      <c r="H278" s="17"/>
      <c r="I278" s="18" t="str">
        <f t="shared" si="4"/>
        <v/>
      </c>
      <c r="J278" s="8"/>
    </row>
    <row r="279" spans="1:10" x14ac:dyDescent="0.3">
      <c r="A279" s="9"/>
      <c r="B279" s="8"/>
      <c r="C279" s="10" t="str">
        <f>IFERROR(VLOOKUP(B279,Activos!$A$5:$C$104,3,FALSE),"")</f>
        <v/>
      </c>
      <c r="D279" s="8"/>
      <c r="E279" s="19"/>
      <c r="F279" s="20"/>
      <c r="G279" s="17"/>
      <c r="H279" s="17"/>
      <c r="I279" s="18" t="str">
        <f t="shared" si="4"/>
        <v/>
      </c>
      <c r="J279" s="8"/>
    </row>
    <row r="280" spans="1:10" x14ac:dyDescent="0.3">
      <c r="A280" s="9"/>
      <c r="B280" s="8"/>
      <c r="C280" s="10" t="str">
        <f>IFERROR(VLOOKUP(B280,Activos!$A$5:$C$104,3,FALSE),"")</f>
        <v/>
      </c>
      <c r="D280" s="8"/>
      <c r="E280" s="19"/>
      <c r="F280" s="20"/>
      <c r="G280" s="17"/>
      <c r="H280" s="17"/>
      <c r="I280" s="18" t="str">
        <f t="shared" si="4"/>
        <v/>
      </c>
      <c r="J280" s="8"/>
    </row>
    <row r="281" spans="1:10" x14ac:dyDescent="0.3">
      <c r="A281" s="9"/>
      <c r="B281" s="8"/>
      <c r="C281" s="10" t="str">
        <f>IFERROR(VLOOKUP(B281,Activos!$A$5:$C$104,3,FALSE),"")</f>
        <v/>
      </c>
      <c r="D281" s="8"/>
      <c r="E281" s="19"/>
      <c r="F281" s="20"/>
      <c r="G281" s="17"/>
      <c r="H281" s="17"/>
      <c r="I281" s="18" t="str">
        <f t="shared" si="4"/>
        <v/>
      </c>
      <c r="J281" s="8"/>
    </row>
    <row r="282" spans="1:10" x14ac:dyDescent="0.3">
      <c r="A282" s="9"/>
      <c r="B282" s="8"/>
      <c r="C282" s="10" t="str">
        <f>IFERROR(VLOOKUP(B282,Activos!$A$5:$C$104,3,FALSE),"")</f>
        <v/>
      </c>
      <c r="D282" s="8"/>
      <c r="E282" s="19"/>
      <c r="F282" s="20"/>
      <c r="G282" s="17"/>
      <c r="H282" s="17"/>
      <c r="I282" s="18" t="str">
        <f t="shared" si="4"/>
        <v/>
      </c>
      <c r="J282" s="8"/>
    </row>
    <row r="283" spans="1:10" x14ac:dyDescent="0.3">
      <c r="A283" s="9"/>
      <c r="B283" s="8"/>
      <c r="C283" s="10" t="str">
        <f>IFERROR(VLOOKUP(B283,Activos!$A$5:$C$104,3,FALSE),"")</f>
        <v/>
      </c>
      <c r="D283" s="8"/>
      <c r="E283" s="19"/>
      <c r="F283" s="20"/>
      <c r="G283" s="17"/>
      <c r="H283" s="17"/>
      <c r="I283" s="18" t="str">
        <f t="shared" si="4"/>
        <v/>
      </c>
      <c r="J283" s="8"/>
    </row>
    <row r="284" spans="1:10" x14ac:dyDescent="0.3">
      <c r="A284" s="9"/>
      <c r="B284" s="8"/>
      <c r="C284" s="10" t="str">
        <f>IFERROR(VLOOKUP(B284,Activos!$A$5:$C$104,3,FALSE),"")</f>
        <v/>
      </c>
      <c r="D284" s="8"/>
      <c r="E284" s="19"/>
      <c r="F284" s="20"/>
      <c r="G284" s="17"/>
      <c r="H284" s="17"/>
      <c r="I284" s="18" t="str">
        <f t="shared" si="4"/>
        <v/>
      </c>
      <c r="J284" s="8"/>
    </row>
    <row r="285" spans="1:10" x14ac:dyDescent="0.3">
      <c r="A285" s="9"/>
      <c r="B285" s="8"/>
      <c r="C285" s="10" t="str">
        <f>IFERROR(VLOOKUP(B285,Activos!$A$5:$C$104,3,FALSE),"")</f>
        <v/>
      </c>
      <c r="D285" s="8"/>
      <c r="E285" s="19"/>
      <c r="F285" s="20"/>
      <c r="G285" s="17"/>
      <c r="H285" s="17"/>
      <c r="I285" s="18" t="str">
        <f t="shared" si="4"/>
        <v/>
      </c>
      <c r="J285" s="8"/>
    </row>
    <row r="286" spans="1:10" x14ac:dyDescent="0.3">
      <c r="A286" s="9"/>
      <c r="B286" s="8"/>
      <c r="C286" s="10" t="str">
        <f>IFERROR(VLOOKUP(B286,Activos!$A$5:$C$104,3,FALSE),"")</f>
        <v/>
      </c>
      <c r="D286" s="8"/>
      <c r="E286" s="19"/>
      <c r="F286" s="20"/>
      <c r="G286" s="17"/>
      <c r="H286" s="17"/>
      <c r="I286" s="18" t="str">
        <f t="shared" si="4"/>
        <v/>
      </c>
      <c r="J286" s="8"/>
    </row>
    <row r="287" spans="1:10" x14ac:dyDescent="0.3">
      <c r="A287" s="9"/>
      <c r="B287" s="8"/>
      <c r="C287" s="10" t="str">
        <f>IFERROR(VLOOKUP(B287,Activos!$A$5:$C$104,3,FALSE),"")</f>
        <v/>
      </c>
      <c r="D287" s="8"/>
      <c r="E287" s="19"/>
      <c r="F287" s="20"/>
      <c r="G287" s="17"/>
      <c r="H287" s="17"/>
      <c r="I287" s="18" t="str">
        <f t="shared" si="4"/>
        <v/>
      </c>
      <c r="J287" s="8"/>
    </row>
    <row r="288" spans="1:10" x14ac:dyDescent="0.3">
      <c r="A288" s="9"/>
      <c r="B288" s="8"/>
      <c r="C288" s="10" t="str">
        <f>IFERROR(VLOOKUP(B288,Activos!$A$5:$C$104,3,FALSE),"")</f>
        <v/>
      </c>
      <c r="D288" s="8"/>
      <c r="E288" s="19"/>
      <c r="F288" s="20"/>
      <c r="G288" s="17"/>
      <c r="H288" s="17"/>
      <c r="I288" s="18" t="str">
        <f t="shared" si="4"/>
        <v/>
      </c>
      <c r="J288" s="8"/>
    </row>
    <row r="289" spans="1:10" x14ac:dyDescent="0.3">
      <c r="A289" s="9"/>
      <c r="B289" s="8"/>
      <c r="C289" s="10" t="str">
        <f>IFERROR(VLOOKUP(B289,Activos!$A$5:$C$104,3,FALSE),"")</f>
        <v/>
      </c>
      <c r="D289" s="8"/>
      <c r="E289" s="19"/>
      <c r="F289" s="20"/>
      <c r="G289" s="17"/>
      <c r="H289" s="17"/>
      <c r="I289" s="18" t="str">
        <f t="shared" si="4"/>
        <v/>
      </c>
      <c r="J289" s="8"/>
    </row>
    <row r="290" spans="1:10" x14ac:dyDescent="0.3">
      <c r="A290" s="9"/>
      <c r="B290" s="8"/>
      <c r="C290" s="10" t="str">
        <f>IFERROR(VLOOKUP(B290,Activos!$A$5:$C$104,3,FALSE),"")</f>
        <v/>
      </c>
      <c r="D290" s="8"/>
      <c r="E290" s="19"/>
      <c r="F290" s="20"/>
      <c r="G290" s="17"/>
      <c r="H290" s="17"/>
      <c r="I290" s="18" t="str">
        <f t="shared" si="4"/>
        <v/>
      </c>
      <c r="J290" s="8"/>
    </row>
    <row r="291" spans="1:10" x14ac:dyDescent="0.3">
      <c r="A291" s="9"/>
      <c r="B291" s="8"/>
      <c r="C291" s="10" t="str">
        <f>IFERROR(VLOOKUP(B291,Activos!$A$5:$C$104,3,FALSE),"")</f>
        <v/>
      </c>
      <c r="D291" s="8"/>
      <c r="E291" s="19"/>
      <c r="F291" s="20"/>
      <c r="G291" s="17"/>
      <c r="H291" s="17"/>
      <c r="I291" s="18" t="str">
        <f t="shared" si="4"/>
        <v/>
      </c>
      <c r="J291" s="8"/>
    </row>
    <row r="292" spans="1:10" x14ac:dyDescent="0.3">
      <c r="A292" s="9"/>
      <c r="B292" s="8"/>
      <c r="C292" s="10" t="str">
        <f>IFERROR(VLOOKUP(B292,Activos!$A$5:$C$104,3,FALSE),"")</f>
        <v/>
      </c>
      <c r="D292" s="8"/>
      <c r="E292" s="19"/>
      <c r="F292" s="20"/>
      <c r="G292" s="17"/>
      <c r="H292" s="17"/>
      <c r="I292" s="18" t="str">
        <f t="shared" si="4"/>
        <v/>
      </c>
      <c r="J292" s="8"/>
    </row>
    <row r="293" spans="1:10" x14ac:dyDescent="0.3">
      <c r="A293" s="9"/>
      <c r="B293" s="8"/>
      <c r="C293" s="10" t="str">
        <f>IFERROR(VLOOKUP(B293,Activos!$A$5:$C$104,3,FALSE),"")</f>
        <v/>
      </c>
      <c r="D293" s="8"/>
      <c r="E293" s="19"/>
      <c r="F293" s="20"/>
      <c r="G293" s="17"/>
      <c r="H293" s="17"/>
      <c r="I293" s="18" t="str">
        <f t="shared" si="4"/>
        <v/>
      </c>
      <c r="J293" s="8"/>
    </row>
    <row r="294" spans="1:10" x14ac:dyDescent="0.3">
      <c r="A294" s="9"/>
      <c r="B294" s="8"/>
      <c r="C294" s="10" t="str">
        <f>IFERROR(VLOOKUP(B294,Activos!$A$5:$C$104,3,FALSE),"")</f>
        <v/>
      </c>
      <c r="D294" s="8"/>
      <c r="E294" s="19"/>
      <c r="F294" s="20"/>
      <c r="G294" s="17"/>
      <c r="H294" s="17"/>
      <c r="I294" s="18" t="str">
        <f t="shared" si="4"/>
        <v/>
      </c>
      <c r="J294" s="8"/>
    </row>
    <row r="295" spans="1:10" x14ac:dyDescent="0.3">
      <c r="A295" s="9"/>
      <c r="B295" s="8"/>
      <c r="C295" s="10" t="str">
        <f>IFERROR(VLOOKUP(B295,Activos!$A$5:$C$104,3,FALSE),"")</f>
        <v/>
      </c>
      <c r="D295" s="8"/>
      <c r="E295" s="19"/>
      <c r="F295" s="20"/>
      <c r="G295" s="17"/>
      <c r="H295" s="17"/>
      <c r="I295" s="18" t="str">
        <f t="shared" si="4"/>
        <v/>
      </c>
      <c r="J295" s="8"/>
    </row>
    <row r="296" spans="1:10" x14ac:dyDescent="0.3">
      <c r="A296" s="9"/>
      <c r="B296" s="8"/>
      <c r="C296" s="10" t="str">
        <f>IFERROR(VLOOKUP(B296,Activos!$A$5:$C$104,3,FALSE),"")</f>
        <v/>
      </c>
      <c r="D296" s="8"/>
      <c r="E296" s="19"/>
      <c r="F296" s="20"/>
      <c r="G296" s="17"/>
      <c r="H296" s="17"/>
      <c r="I296" s="18" t="str">
        <f t="shared" si="4"/>
        <v/>
      </c>
      <c r="J296" s="8"/>
    </row>
    <row r="297" spans="1:10" x14ac:dyDescent="0.3">
      <c r="A297" s="9"/>
      <c r="B297" s="8"/>
      <c r="C297" s="10" t="str">
        <f>IFERROR(VLOOKUP(B297,Activos!$A$5:$C$104,3,FALSE),"")</f>
        <v/>
      </c>
      <c r="D297" s="8"/>
      <c r="E297" s="19"/>
      <c r="F297" s="20"/>
      <c r="G297" s="17"/>
      <c r="H297" s="17"/>
      <c r="I297" s="18" t="str">
        <f t="shared" si="4"/>
        <v/>
      </c>
      <c r="J297" s="8"/>
    </row>
    <row r="298" spans="1:10" x14ac:dyDescent="0.3">
      <c r="A298" s="9"/>
      <c r="B298" s="8"/>
      <c r="C298" s="10" t="str">
        <f>IFERROR(VLOOKUP(B298,Activos!$A$5:$C$104,3,FALSE),"")</f>
        <v/>
      </c>
      <c r="D298" s="8"/>
      <c r="E298" s="19"/>
      <c r="F298" s="20"/>
      <c r="G298" s="17"/>
      <c r="H298" s="17"/>
      <c r="I298" s="18" t="str">
        <f t="shared" si="4"/>
        <v/>
      </c>
      <c r="J298" s="8"/>
    </row>
    <row r="299" spans="1:10" x14ac:dyDescent="0.3">
      <c r="A299" s="9"/>
      <c r="B299" s="8"/>
      <c r="C299" s="10" t="str">
        <f>IFERROR(VLOOKUP(B299,Activos!$A$5:$C$104,3,FALSE),"")</f>
        <v/>
      </c>
      <c r="D299" s="8"/>
      <c r="E299" s="19"/>
      <c r="F299" s="20"/>
      <c r="G299" s="17"/>
      <c r="H299" s="17"/>
      <c r="I299" s="18" t="str">
        <f t="shared" si="4"/>
        <v/>
      </c>
      <c r="J299" s="8"/>
    </row>
    <row r="300" spans="1:10" x14ac:dyDescent="0.3">
      <c r="A300" s="9"/>
      <c r="B300" s="8"/>
      <c r="C300" s="10" t="str">
        <f>IFERROR(VLOOKUP(B300,Activos!$A$5:$C$104,3,FALSE),"")</f>
        <v/>
      </c>
      <c r="D300" s="8"/>
      <c r="E300" s="19"/>
      <c r="F300" s="20"/>
      <c r="G300" s="17"/>
      <c r="H300" s="17"/>
      <c r="I300" s="18" t="str">
        <f t="shared" si="4"/>
        <v/>
      </c>
      <c r="J300" s="8"/>
    </row>
    <row r="301" spans="1:10" x14ac:dyDescent="0.3">
      <c r="A301" s="9"/>
      <c r="B301" s="8"/>
      <c r="C301" s="10" t="str">
        <f>IFERROR(VLOOKUP(B301,Activos!$A$5:$C$104,3,FALSE),"")</f>
        <v/>
      </c>
      <c r="D301" s="8"/>
      <c r="E301" s="19"/>
      <c r="F301" s="20"/>
      <c r="G301" s="17"/>
      <c r="H301" s="17"/>
      <c r="I301" s="18" t="str">
        <f t="shared" si="4"/>
        <v/>
      </c>
      <c r="J301" s="8"/>
    </row>
    <row r="302" spans="1:10" x14ac:dyDescent="0.3">
      <c r="A302" s="9"/>
      <c r="B302" s="8"/>
      <c r="C302" s="10" t="str">
        <f>IFERROR(VLOOKUP(B302,Activos!$A$5:$C$104,3,FALSE),"")</f>
        <v/>
      </c>
      <c r="D302" s="8"/>
      <c r="E302" s="19"/>
      <c r="F302" s="20"/>
      <c r="G302" s="17"/>
      <c r="H302" s="17"/>
      <c r="I302" s="18" t="str">
        <f t="shared" si="4"/>
        <v/>
      </c>
      <c r="J302" s="8"/>
    </row>
    <row r="303" spans="1:10" x14ac:dyDescent="0.3">
      <c r="A303" s="9"/>
      <c r="B303" s="8"/>
      <c r="C303" s="10" t="str">
        <f>IFERROR(VLOOKUP(B303,Activos!$A$5:$C$104,3,FALSE),"")</f>
        <v/>
      </c>
      <c r="D303" s="8"/>
      <c r="E303" s="19"/>
      <c r="F303" s="20"/>
      <c r="G303" s="17"/>
      <c r="H303" s="17"/>
      <c r="I303" s="18" t="str">
        <f t="shared" si="4"/>
        <v/>
      </c>
      <c r="J303" s="8"/>
    </row>
    <row r="304" spans="1:10" x14ac:dyDescent="0.3">
      <c r="A304" s="9"/>
      <c r="B304" s="8"/>
      <c r="C304" s="10" t="str">
        <f>IFERROR(VLOOKUP(B304,Activos!$A$5:$C$104,3,FALSE),"")</f>
        <v/>
      </c>
      <c r="D304" s="8"/>
      <c r="E304" s="19"/>
      <c r="F304" s="20"/>
      <c r="G304" s="17"/>
      <c r="H304" s="17"/>
      <c r="I304" s="18" t="str">
        <f t="shared" si="4"/>
        <v/>
      </c>
      <c r="J304" s="8"/>
    </row>
    <row r="305" spans="1:10" x14ac:dyDescent="0.3">
      <c r="A305" s="9"/>
      <c r="B305" s="8"/>
      <c r="C305" s="10" t="str">
        <f>IFERROR(VLOOKUP(B305,Activos!$A$5:$C$104,3,FALSE),"")</f>
        <v/>
      </c>
      <c r="D305" s="8"/>
      <c r="E305" s="19"/>
      <c r="F305" s="20"/>
      <c r="G305" s="17"/>
      <c r="H305" s="17"/>
      <c r="I305" s="18" t="str">
        <f t="shared" si="4"/>
        <v/>
      </c>
      <c r="J305" s="8"/>
    </row>
    <row r="306" spans="1:10" x14ac:dyDescent="0.3">
      <c r="A306" s="9"/>
      <c r="B306" s="8"/>
      <c r="C306" s="10" t="str">
        <f>IFERROR(VLOOKUP(B306,Activos!$A$5:$C$104,3,FALSE),"")</f>
        <v/>
      </c>
      <c r="D306" s="8"/>
      <c r="E306" s="19"/>
      <c r="F306" s="20"/>
      <c r="G306" s="17"/>
      <c r="H306" s="17"/>
      <c r="I306" s="18" t="str">
        <f t="shared" si="4"/>
        <v/>
      </c>
      <c r="J306" s="8"/>
    </row>
    <row r="307" spans="1:10" x14ac:dyDescent="0.3">
      <c r="A307" s="9"/>
      <c r="B307" s="8"/>
      <c r="C307" s="10" t="str">
        <f>IFERROR(VLOOKUP(B307,Activos!$A$5:$C$104,3,FALSE),"")</f>
        <v/>
      </c>
      <c r="D307" s="8"/>
      <c r="E307" s="19"/>
      <c r="F307" s="20"/>
      <c r="G307" s="17"/>
      <c r="H307" s="17"/>
      <c r="I307" s="18" t="str">
        <f t="shared" si="4"/>
        <v/>
      </c>
      <c r="J307" s="8"/>
    </row>
    <row r="308" spans="1:10" x14ac:dyDescent="0.3">
      <c r="A308" s="9"/>
      <c r="B308" s="8"/>
      <c r="C308" s="10" t="str">
        <f>IFERROR(VLOOKUP(B308,Activos!$A$5:$C$104,3,FALSE),"")</f>
        <v/>
      </c>
      <c r="D308" s="8"/>
      <c r="E308" s="19"/>
      <c r="F308" s="20"/>
      <c r="G308" s="17"/>
      <c r="H308" s="17"/>
      <c r="I308" s="18" t="str">
        <f t="shared" si="4"/>
        <v/>
      </c>
      <c r="J308" s="8"/>
    </row>
    <row r="309" spans="1:10" x14ac:dyDescent="0.3">
      <c r="A309" s="9"/>
      <c r="B309" s="8"/>
      <c r="C309" s="10" t="str">
        <f>IFERROR(VLOOKUP(B309,Activos!$A$5:$C$104,3,FALSE),"")</f>
        <v/>
      </c>
      <c r="D309" s="8"/>
      <c r="E309" s="19"/>
      <c r="F309" s="20"/>
      <c r="G309" s="17"/>
      <c r="H309" s="17"/>
      <c r="I309" s="18" t="str">
        <f t="shared" si="4"/>
        <v/>
      </c>
      <c r="J309" s="8"/>
    </row>
    <row r="310" spans="1:10" x14ac:dyDescent="0.3">
      <c r="A310" s="9"/>
      <c r="B310" s="8"/>
      <c r="C310" s="10" t="str">
        <f>IFERROR(VLOOKUP(B310,Activos!$A$5:$C$104,3,FALSE),"")</f>
        <v/>
      </c>
      <c r="D310" s="8"/>
      <c r="E310" s="19"/>
      <c r="F310" s="20"/>
      <c r="G310" s="17"/>
      <c r="H310" s="17"/>
      <c r="I310" s="18" t="str">
        <f t="shared" si="4"/>
        <v/>
      </c>
      <c r="J310" s="8"/>
    </row>
    <row r="311" spans="1:10" x14ac:dyDescent="0.3">
      <c r="A311" s="9"/>
      <c r="B311" s="8"/>
      <c r="C311" s="10" t="str">
        <f>IFERROR(VLOOKUP(B311,Activos!$A$5:$C$104,3,FALSE),"")</f>
        <v/>
      </c>
      <c r="D311" s="8"/>
      <c r="E311" s="19"/>
      <c r="F311" s="20"/>
      <c r="G311" s="17"/>
      <c r="H311" s="17"/>
      <c r="I311" s="18" t="str">
        <f t="shared" si="4"/>
        <v/>
      </c>
      <c r="J311" s="8"/>
    </row>
    <row r="312" spans="1:10" x14ac:dyDescent="0.3">
      <c r="A312" s="9"/>
      <c r="B312" s="8"/>
      <c r="C312" s="10" t="str">
        <f>IFERROR(VLOOKUP(B312,Activos!$A$5:$C$104,3,FALSE),"")</f>
        <v/>
      </c>
      <c r="D312" s="8"/>
      <c r="E312" s="19"/>
      <c r="F312" s="20"/>
      <c r="G312" s="17"/>
      <c r="H312" s="17"/>
      <c r="I312" s="18" t="str">
        <f t="shared" si="4"/>
        <v/>
      </c>
      <c r="J312" s="8"/>
    </row>
    <row r="313" spans="1:10" x14ac:dyDescent="0.3">
      <c r="A313" s="9"/>
      <c r="B313" s="8"/>
      <c r="C313" s="10" t="str">
        <f>IFERROR(VLOOKUP(B313,Activos!$A$5:$C$104,3,FALSE),"")</f>
        <v/>
      </c>
      <c r="D313" s="8"/>
      <c r="E313" s="19"/>
      <c r="F313" s="20"/>
      <c r="G313" s="17"/>
      <c r="H313" s="17"/>
      <c r="I313" s="18" t="str">
        <f t="shared" si="4"/>
        <v/>
      </c>
      <c r="J313" s="8"/>
    </row>
    <row r="314" spans="1:10" x14ac:dyDescent="0.3">
      <c r="A314" s="9"/>
      <c r="B314" s="8"/>
      <c r="C314" s="10" t="str">
        <f>IFERROR(VLOOKUP(B314,Activos!$A$5:$C$104,3,FALSE),"")</f>
        <v/>
      </c>
      <c r="D314" s="8"/>
      <c r="E314" s="19"/>
      <c r="F314" s="20"/>
      <c r="G314" s="17"/>
      <c r="H314" s="17"/>
      <c r="I314" s="18" t="str">
        <f t="shared" si="4"/>
        <v/>
      </c>
      <c r="J314" s="8"/>
    </row>
    <row r="315" spans="1:10" x14ac:dyDescent="0.3">
      <c r="A315" s="9"/>
      <c r="B315" s="8"/>
      <c r="C315" s="10" t="str">
        <f>IFERROR(VLOOKUP(B315,Activos!$A$5:$C$104,3,FALSE),"")</f>
        <v/>
      </c>
      <c r="D315" s="8"/>
      <c r="E315" s="19"/>
      <c r="F315" s="20"/>
      <c r="G315" s="17"/>
      <c r="H315" s="17"/>
      <c r="I315" s="18" t="str">
        <f t="shared" si="4"/>
        <v/>
      </c>
      <c r="J315" s="8"/>
    </row>
    <row r="316" spans="1:10" x14ac:dyDescent="0.3">
      <c r="A316" s="9"/>
      <c r="B316" s="8"/>
      <c r="C316" s="10" t="str">
        <f>IFERROR(VLOOKUP(B316,Activos!$A$5:$C$104,3,FALSE),"")</f>
        <v/>
      </c>
      <c r="D316" s="8"/>
      <c r="E316" s="19"/>
      <c r="F316" s="20"/>
      <c r="G316" s="17"/>
      <c r="H316" s="17"/>
      <c r="I316" s="18" t="str">
        <f t="shared" si="4"/>
        <v/>
      </c>
      <c r="J316" s="8"/>
    </row>
    <row r="317" spans="1:10" x14ac:dyDescent="0.3">
      <c r="A317" s="9"/>
      <c r="B317" s="8"/>
      <c r="C317" s="10" t="str">
        <f>IFERROR(VLOOKUP(B317,Activos!$A$5:$C$104,3,FALSE),"")</f>
        <v/>
      </c>
      <c r="D317" s="8"/>
      <c r="E317" s="19"/>
      <c r="F317" s="20"/>
      <c r="G317" s="17"/>
      <c r="H317" s="17"/>
      <c r="I317" s="18" t="str">
        <f t="shared" si="4"/>
        <v/>
      </c>
      <c r="J317" s="8"/>
    </row>
    <row r="318" spans="1:10" x14ac:dyDescent="0.3">
      <c r="A318" s="9"/>
      <c r="B318" s="8"/>
      <c r="C318" s="10" t="str">
        <f>IFERROR(VLOOKUP(B318,Activos!$A$5:$C$104,3,FALSE),"")</f>
        <v/>
      </c>
      <c r="D318" s="8"/>
      <c r="E318" s="19"/>
      <c r="F318" s="20"/>
      <c r="G318" s="17"/>
      <c r="H318" s="17"/>
      <c r="I318" s="18" t="str">
        <f t="shared" si="4"/>
        <v/>
      </c>
      <c r="J318" s="8"/>
    </row>
    <row r="319" spans="1:10" x14ac:dyDescent="0.3">
      <c r="A319" s="9"/>
      <c r="B319" s="8"/>
      <c r="C319" s="10" t="str">
        <f>IFERROR(VLOOKUP(B319,Activos!$A$5:$C$104,3,FALSE),"")</f>
        <v/>
      </c>
      <c r="D319" s="8"/>
      <c r="E319" s="19"/>
      <c r="F319" s="20"/>
      <c r="G319" s="17"/>
      <c r="H319" s="17"/>
      <c r="I319" s="18" t="str">
        <f t="shared" si="4"/>
        <v/>
      </c>
      <c r="J319" s="8"/>
    </row>
    <row r="320" spans="1:10" x14ac:dyDescent="0.3">
      <c r="A320" s="9"/>
      <c r="B320" s="8"/>
      <c r="C320" s="10" t="str">
        <f>IFERROR(VLOOKUP(B320,Activos!$A$5:$C$104,3,FALSE),"")</f>
        <v/>
      </c>
      <c r="D320" s="8"/>
      <c r="E320" s="19"/>
      <c r="F320" s="20"/>
      <c r="G320" s="17"/>
      <c r="H320" s="17"/>
      <c r="I320" s="18" t="str">
        <f t="shared" si="4"/>
        <v/>
      </c>
      <c r="J320" s="8"/>
    </row>
    <row r="321" spans="1:10" x14ac:dyDescent="0.3">
      <c r="A321" s="9"/>
      <c r="B321" s="8"/>
      <c r="C321" s="10" t="str">
        <f>IFERROR(VLOOKUP(B321,Activos!$A$5:$C$104,3,FALSE),"")</f>
        <v/>
      </c>
      <c r="D321" s="8"/>
      <c r="E321" s="19"/>
      <c r="F321" s="20"/>
      <c r="G321" s="17"/>
      <c r="H321" s="17"/>
      <c r="I321" s="18" t="str">
        <f t="shared" si="4"/>
        <v/>
      </c>
      <c r="J321" s="8"/>
    </row>
    <row r="322" spans="1:10" x14ac:dyDescent="0.3">
      <c r="A322" s="9"/>
      <c r="B322" s="8"/>
      <c r="C322" s="10" t="str">
        <f>IFERROR(VLOOKUP(B322,Activos!$A$5:$C$104,3,FALSE),"")</f>
        <v/>
      </c>
      <c r="D322" s="8"/>
      <c r="E322" s="19"/>
      <c r="F322" s="20"/>
      <c r="G322" s="17"/>
      <c r="H322" s="17"/>
      <c r="I322" s="18" t="str">
        <f t="shared" si="4"/>
        <v/>
      </c>
      <c r="J322" s="8"/>
    </row>
    <row r="323" spans="1:10" x14ac:dyDescent="0.3">
      <c r="A323" s="9"/>
      <c r="B323" s="8"/>
      <c r="C323" s="10" t="str">
        <f>IFERROR(VLOOKUP(B323,Activos!$A$5:$C$104,3,FALSE),"")</f>
        <v/>
      </c>
      <c r="D323" s="8"/>
      <c r="E323" s="19"/>
      <c r="F323" s="20"/>
      <c r="G323" s="17"/>
      <c r="H323" s="17"/>
      <c r="I323" s="18" t="str">
        <f t="shared" si="4"/>
        <v/>
      </c>
      <c r="J323" s="8"/>
    </row>
    <row r="324" spans="1:10" x14ac:dyDescent="0.3">
      <c r="A324" s="9"/>
      <c r="B324" s="8"/>
      <c r="C324" s="10" t="str">
        <f>IFERROR(VLOOKUP(B324,Activos!$A$5:$C$104,3,FALSE),"")</f>
        <v/>
      </c>
      <c r="D324" s="8"/>
      <c r="E324" s="19"/>
      <c r="F324" s="20"/>
      <c r="G324" s="17"/>
      <c r="H324" s="17"/>
      <c r="I324" s="18" t="str">
        <f t="shared" si="4"/>
        <v/>
      </c>
      <c r="J324" s="8"/>
    </row>
    <row r="325" spans="1:10" x14ac:dyDescent="0.3">
      <c r="A325" s="9"/>
      <c r="B325" s="8"/>
      <c r="C325" s="10" t="str">
        <f>IFERROR(VLOOKUP(B325,Activos!$A$5:$C$104,3,FALSE),"")</f>
        <v/>
      </c>
      <c r="D325" s="8"/>
      <c r="E325" s="19"/>
      <c r="F325" s="20"/>
      <c r="G325" s="17"/>
      <c r="H325" s="17"/>
      <c r="I325" s="18" t="str">
        <f t="shared" ref="I325:I388" si="5">IF(OR(D325="",G325=""),"",IF(D325="COMPRA",-G325-IF(H325="",0,H325),IF(D325="VENTA",G325-IF(H325="",0,H325),"")))</f>
        <v/>
      </c>
      <c r="J325" s="8"/>
    </row>
    <row r="326" spans="1:10" x14ac:dyDescent="0.3">
      <c r="A326" s="9"/>
      <c r="B326" s="8"/>
      <c r="C326" s="10" t="str">
        <f>IFERROR(VLOOKUP(B326,Activos!$A$5:$C$104,3,FALSE),"")</f>
        <v/>
      </c>
      <c r="D326" s="8"/>
      <c r="E326" s="19"/>
      <c r="F326" s="20"/>
      <c r="G326" s="17"/>
      <c r="H326" s="17"/>
      <c r="I326" s="18" t="str">
        <f t="shared" si="5"/>
        <v/>
      </c>
      <c r="J326" s="8"/>
    </row>
    <row r="327" spans="1:10" x14ac:dyDescent="0.3">
      <c r="A327" s="9"/>
      <c r="B327" s="8"/>
      <c r="C327" s="10" t="str">
        <f>IFERROR(VLOOKUP(B327,Activos!$A$5:$C$104,3,FALSE),"")</f>
        <v/>
      </c>
      <c r="D327" s="8"/>
      <c r="E327" s="19"/>
      <c r="F327" s="20"/>
      <c r="G327" s="17"/>
      <c r="H327" s="17"/>
      <c r="I327" s="18" t="str">
        <f t="shared" si="5"/>
        <v/>
      </c>
      <c r="J327" s="8"/>
    </row>
    <row r="328" spans="1:10" x14ac:dyDescent="0.3">
      <c r="A328" s="9"/>
      <c r="B328" s="8"/>
      <c r="C328" s="10" t="str">
        <f>IFERROR(VLOOKUP(B328,Activos!$A$5:$C$104,3,FALSE),"")</f>
        <v/>
      </c>
      <c r="D328" s="8"/>
      <c r="E328" s="19"/>
      <c r="F328" s="20"/>
      <c r="G328" s="17"/>
      <c r="H328" s="17"/>
      <c r="I328" s="18" t="str">
        <f t="shared" si="5"/>
        <v/>
      </c>
      <c r="J328" s="8"/>
    </row>
    <row r="329" spans="1:10" x14ac:dyDescent="0.3">
      <c r="A329" s="9"/>
      <c r="B329" s="8"/>
      <c r="C329" s="10" t="str">
        <f>IFERROR(VLOOKUP(B329,Activos!$A$5:$C$104,3,FALSE),"")</f>
        <v/>
      </c>
      <c r="D329" s="8"/>
      <c r="E329" s="19"/>
      <c r="F329" s="20"/>
      <c r="G329" s="17"/>
      <c r="H329" s="17"/>
      <c r="I329" s="18" t="str">
        <f t="shared" si="5"/>
        <v/>
      </c>
      <c r="J329" s="8"/>
    </row>
    <row r="330" spans="1:10" x14ac:dyDescent="0.3">
      <c r="A330" s="9"/>
      <c r="B330" s="8"/>
      <c r="C330" s="10" t="str">
        <f>IFERROR(VLOOKUP(B330,Activos!$A$5:$C$104,3,FALSE),"")</f>
        <v/>
      </c>
      <c r="D330" s="8"/>
      <c r="E330" s="19"/>
      <c r="F330" s="20"/>
      <c r="G330" s="17"/>
      <c r="H330" s="17"/>
      <c r="I330" s="18" t="str">
        <f t="shared" si="5"/>
        <v/>
      </c>
      <c r="J330" s="8"/>
    </row>
    <row r="331" spans="1:10" x14ac:dyDescent="0.3">
      <c r="A331" s="9"/>
      <c r="B331" s="8"/>
      <c r="C331" s="10" t="str">
        <f>IFERROR(VLOOKUP(B331,Activos!$A$5:$C$104,3,FALSE),"")</f>
        <v/>
      </c>
      <c r="D331" s="8"/>
      <c r="E331" s="19"/>
      <c r="F331" s="20"/>
      <c r="G331" s="17"/>
      <c r="H331" s="17"/>
      <c r="I331" s="18" t="str">
        <f t="shared" si="5"/>
        <v/>
      </c>
      <c r="J331" s="8"/>
    </row>
    <row r="332" spans="1:10" x14ac:dyDescent="0.3">
      <c r="A332" s="9"/>
      <c r="B332" s="8"/>
      <c r="C332" s="10" t="str">
        <f>IFERROR(VLOOKUP(B332,Activos!$A$5:$C$104,3,FALSE),"")</f>
        <v/>
      </c>
      <c r="D332" s="8"/>
      <c r="E332" s="19"/>
      <c r="F332" s="20"/>
      <c r="G332" s="17"/>
      <c r="H332" s="17"/>
      <c r="I332" s="18" t="str">
        <f t="shared" si="5"/>
        <v/>
      </c>
      <c r="J332" s="8"/>
    </row>
    <row r="333" spans="1:10" x14ac:dyDescent="0.3">
      <c r="A333" s="9"/>
      <c r="B333" s="8"/>
      <c r="C333" s="10" t="str">
        <f>IFERROR(VLOOKUP(B333,Activos!$A$5:$C$104,3,FALSE),"")</f>
        <v/>
      </c>
      <c r="D333" s="8"/>
      <c r="E333" s="19"/>
      <c r="F333" s="20"/>
      <c r="G333" s="17"/>
      <c r="H333" s="17"/>
      <c r="I333" s="18" t="str">
        <f t="shared" si="5"/>
        <v/>
      </c>
      <c r="J333" s="8"/>
    </row>
    <row r="334" spans="1:10" x14ac:dyDescent="0.3">
      <c r="A334" s="9"/>
      <c r="B334" s="8"/>
      <c r="C334" s="10" t="str">
        <f>IFERROR(VLOOKUP(B334,Activos!$A$5:$C$104,3,FALSE),"")</f>
        <v/>
      </c>
      <c r="D334" s="8"/>
      <c r="E334" s="19"/>
      <c r="F334" s="20"/>
      <c r="G334" s="17"/>
      <c r="H334" s="17"/>
      <c r="I334" s="18" t="str">
        <f t="shared" si="5"/>
        <v/>
      </c>
      <c r="J334" s="8"/>
    </row>
    <row r="335" spans="1:10" x14ac:dyDescent="0.3">
      <c r="A335" s="9"/>
      <c r="B335" s="8"/>
      <c r="C335" s="10" t="str">
        <f>IFERROR(VLOOKUP(B335,Activos!$A$5:$C$104,3,FALSE),"")</f>
        <v/>
      </c>
      <c r="D335" s="8"/>
      <c r="E335" s="19"/>
      <c r="F335" s="20"/>
      <c r="G335" s="17"/>
      <c r="H335" s="17"/>
      <c r="I335" s="18" t="str">
        <f t="shared" si="5"/>
        <v/>
      </c>
      <c r="J335" s="8"/>
    </row>
    <row r="336" spans="1:10" x14ac:dyDescent="0.3">
      <c r="A336" s="9"/>
      <c r="B336" s="8"/>
      <c r="C336" s="10" t="str">
        <f>IFERROR(VLOOKUP(B336,Activos!$A$5:$C$104,3,FALSE),"")</f>
        <v/>
      </c>
      <c r="D336" s="8"/>
      <c r="E336" s="19"/>
      <c r="F336" s="20"/>
      <c r="G336" s="17"/>
      <c r="H336" s="17"/>
      <c r="I336" s="18" t="str">
        <f t="shared" si="5"/>
        <v/>
      </c>
      <c r="J336" s="8"/>
    </row>
    <row r="337" spans="1:10" x14ac:dyDescent="0.3">
      <c r="A337" s="9"/>
      <c r="B337" s="8"/>
      <c r="C337" s="10" t="str">
        <f>IFERROR(VLOOKUP(B337,Activos!$A$5:$C$104,3,FALSE),"")</f>
        <v/>
      </c>
      <c r="D337" s="8"/>
      <c r="E337" s="19"/>
      <c r="F337" s="20"/>
      <c r="G337" s="17"/>
      <c r="H337" s="17"/>
      <c r="I337" s="18" t="str">
        <f t="shared" si="5"/>
        <v/>
      </c>
      <c r="J337" s="8"/>
    </row>
    <row r="338" spans="1:10" x14ac:dyDescent="0.3">
      <c r="A338" s="9"/>
      <c r="B338" s="8"/>
      <c r="C338" s="10" t="str">
        <f>IFERROR(VLOOKUP(B338,Activos!$A$5:$C$104,3,FALSE),"")</f>
        <v/>
      </c>
      <c r="D338" s="8"/>
      <c r="E338" s="19"/>
      <c r="F338" s="20"/>
      <c r="G338" s="17"/>
      <c r="H338" s="17"/>
      <c r="I338" s="18" t="str">
        <f t="shared" si="5"/>
        <v/>
      </c>
      <c r="J338" s="8"/>
    </row>
    <row r="339" spans="1:10" x14ac:dyDescent="0.3">
      <c r="A339" s="9"/>
      <c r="B339" s="8"/>
      <c r="C339" s="10" t="str">
        <f>IFERROR(VLOOKUP(B339,Activos!$A$5:$C$104,3,FALSE),"")</f>
        <v/>
      </c>
      <c r="D339" s="8"/>
      <c r="E339" s="19"/>
      <c r="F339" s="20"/>
      <c r="G339" s="17"/>
      <c r="H339" s="17"/>
      <c r="I339" s="18" t="str">
        <f t="shared" si="5"/>
        <v/>
      </c>
      <c r="J339" s="8"/>
    </row>
    <row r="340" spans="1:10" x14ac:dyDescent="0.3">
      <c r="A340" s="9"/>
      <c r="B340" s="8"/>
      <c r="C340" s="10" t="str">
        <f>IFERROR(VLOOKUP(B340,Activos!$A$5:$C$104,3,FALSE),"")</f>
        <v/>
      </c>
      <c r="D340" s="8"/>
      <c r="E340" s="19"/>
      <c r="F340" s="20"/>
      <c r="G340" s="17"/>
      <c r="H340" s="17"/>
      <c r="I340" s="18" t="str">
        <f t="shared" si="5"/>
        <v/>
      </c>
      <c r="J340" s="8"/>
    </row>
    <row r="341" spans="1:10" x14ac:dyDescent="0.3">
      <c r="A341" s="9"/>
      <c r="B341" s="8"/>
      <c r="C341" s="10" t="str">
        <f>IFERROR(VLOOKUP(B341,Activos!$A$5:$C$104,3,FALSE),"")</f>
        <v/>
      </c>
      <c r="D341" s="8"/>
      <c r="E341" s="19"/>
      <c r="F341" s="20"/>
      <c r="G341" s="17"/>
      <c r="H341" s="17"/>
      <c r="I341" s="18" t="str">
        <f t="shared" si="5"/>
        <v/>
      </c>
      <c r="J341" s="8"/>
    </row>
    <row r="342" spans="1:10" x14ac:dyDescent="0.3">
      <c r="A342" s="9"/>
      <c r="B342" s="8"/>
      <c r="C342" s="10" t="str">
        <f>IFERROR(VLOOKUP(B342,Activos!$A$5:$C$104,3,FALSE),"")</f>
        <v/>
      </c>
      <c r="D342" s="8"/>
      <c r="E342" s="19"/>
      <c r="F342" s="20"/>
      <c r="G342" s="17"/>
      <c r="H342" s="17"/>
      <c r="I342" s="18" t="str">
        <f t="shared" si="5"/>
        <v/>
      </c>
      <c r="J342" s="8"/>
    </row>
    <row r="343" spans="1:10" x14ac:dyDescent="0.3">
      <c r="A343" s="9"/>
      <c r="B343" s="8"/>
      <c r="C343" s="10" t="str">
        <f>IFERROR(VLOOKUP(B343,Activos!$A$5:$C$104,3,FALSE),"")</f>
        <v/>
      </c>
      <c r="D343" s="8"/>
      <c r="E343" s="19"/>
      <c r="F343" s="20"/>
      <c r="G343" s="17"/>
      <c r="H343" s="17"/>
      <c r="I343" s="18" t="str">
        <f t="shared" si="5"/>
        <v/>
      </c>
      <c r="J343" s="8"/>
    </row>
    <row r="344" spans="1:10" x14ac:dyDescent="0.3">
      <c r="A344" s="9"/>
      <c r="B344" s="8"/>
      <c r="C344" s="10" t="str">
        <f>IFERROR(VLOOKUP(B344,Activos!$A$5:$C$104,3,FALSE),"")</f>
        <v/>
      </c>
      <c r="D344" s="8"/>
      <c r="E344" s="19"/>
      <c r="F344" s="20"/>
      <c r="G344" s="17"/>
      <c r="H344" s="17"/>
      <c r="I344" s="18" t="str">
        <f t="shared" si="5"/>
        <v/>
      </c>
      <c r="J344" s="8"/>
    </row>
    <row r="345" spans="1:10" x14ac:dyDescent="0.3">
      <c r="A345" s="9"/>
      <c r="B345" s="8"/>
      <c r="C345" s="10" t="str">
        <f>IFERROR(VLOOKUP(B345,Activos!$A$5:$C$104,3,FALSE),"")</f>
        <v/>
      </c>
      <c r="D345" s="8"/>
      <c r="E345" s="19"/>
      <c r="F345" s="20"/>
      <c r="G345" s="17"/>
      <c r="H345" s="17"/>
      <c r="I345" s="18" t="str">
        <f t="shared" si="5"/>
        <v/>
      </c>
      <c r="J345" s="8"/>
    </row>
    <row r="346" spans="1:10" x14ac:dyDescent="0.3">
      <c r="A346" s="9"/>
      <c r="B346" s="8"/>
      <c r="C346" s="10" t="str">
        <f>IFERROR(VLOOKUP(B346,Activos!$A$5:$C$104,3,FALSE),"")</f>
        <v/>
      </c>
      <c r="D346" s="8"/>
      <c r="E346" s="19"/>
      <c r="F346" s="20"/>
      <c r="G346" s="17"/>
      <c r="H346" s="17"/>
      <c r="I346" s="18" t="str">
        <f t="shared" si="5"/>
        <v/>
      </c>
      <c r="J346" s="8"/>
    </row>
    <row r="347" spans="1:10" x14ac:dyDescent="0.3">
      <c r="A347" s="9"/>
      <c r="B347" s="8"/>
      <c r="C347" s="10" t="str">
        <f>IFERROR(VLOOKUP(B347,Activos!$A$5:$C$104,3,FALSE),"")</f>
        <v/>
      </c>
      <c r="D347" s="8"/>
      <c r="E347" s="19"/>
      <c r="F347" s="20"/>
      <c r="G347" s="17"/>
      <c r="H347" s="17"/>
      <c r="I347" s="18" t="str">
        <f t="shared" si="5"/>
        <v/>
      </c>
      <c r="J347" s="8"/>
    </row>
    <row r="348" spans="1:10" x14ac:dyDescent="0.3">
      <c r="A348" s="9"/>
      <c r="B348" s="8"/>
      <c r="C348" s="10" t="str">
        <f>IFERROR(VLOOKUP(B348,Activos!$A$5:$C$104,3,FALSE),"")</f>
        <v/>
      </c>
      <c r="D348" s="8"/>
      <c r="E348" s="19"/>
      <c r="F348" s="20"/>
      <c r="G348" s="17"/>
      <c r="H348" s="17"/>
      <c r="I348" s="18" t="str">
        <f t="shared" si="5"/>
        <v/>
      </c>
      <c r="J348" s="8"/>
    </row>
    <row r="349" spans="1:10" x14ac:dyDescent="0.3">
      <c r="A349" s="9"/>
      <c r="B349" s="8"/>
      <c r="C349" s="10" t="str">
        <f>IFERROR(VLOOKUP(B349,Activos!$A$5:$C$104,3,FALSE),"")</f>
        <v/>
      </c>
      <c r="D349" s="8"/>
      <c r="E349" s="19"/>
      <c r="F349" s="20"/>
      <c r="G349" s="17"/>
      <c r="H349" s="17"/>
      <c r="I349" s="18" t="str">
        <f t="shared" si="5"/>
        <v/>
      </c>
      <c r="J349" s="8"/>
    </row>
    <row r="350" spans="1:10" x14ac:dyDescent="0.3">
      <c r="A350" s="9"/>
      <c r="B350" s="8"/>
      <c r="C350" s="10" t="str">
        <f>IFERROR(VLOOKUP(B350,Activos!$A$5:$C$104,3,FALSE),"")</f>
        <v/>
      </c>
      <c r="D350" s="8"/>
      <c r="E350" s="19"/>
      <c r="F350" s="20"/>
      <c r="G350" s="17"/>
      <c r="H350" s="17"/>
      <c r="I350" s="18" t="str">
        <f t="shared" si="5"/>
        <v/>
      </c>
      <c r="J350" s="8"/>
    </row>
    <row r="351" spans="1:10" x14ac:dyDescent="0.3">
      <c r="A351" s="9"/>
      <c r="B351" s="8"/>
      <c r="C351" s="10" t="str">
        <f>IFERROR(VLOOKUP(B351,Activos!$A$5:$C$104,3,FALSE),"")</f>
        <v/>
      </c>
      <c r="D351" s="8"/>
      <c r="E351" s="19"/>
      <c r="F351" s="20"/>
      <c r="G351" s="17"/>
      <c r="H351" s="17"/>
      <c r="I351" s="18" t="str">
        <f t="shared" si="5"/>
        <v/>
      </c>
      <c r="J351" s="8"/>
    </row>
    <row r="352" spans="1:10" x14ac:dyDescent="0.3">
      <c r="A352" s="9"/>
      <c r="B352" s="8"/>
      <c r="C352" s="10" t="str">
        <f>IFERROR(VLOOKUP(B352,Activos!$A$5:$C$104,3,FALSE),"")</f>
        <v/>
      </c>
      <c r="D352" s="8"/>
      <c r="E352" s="19"/>
      <c r="F352" s="20"/>
      <c r="G352" s="17"/>
      <c r="H352" s="17"/>
      <c r="I352" s="18" t="str">
        <f t="shared" si="5"/>
        <v/>
      </c>
      <c r="J352" s="8"/>
    </row>
    <row r="353" spans="1:10" x14ac:dyDescent="0.3">
      <c r="A353" s="9"/>
      <c r="B353" s="8"/>
      <c r="C353" s="10" t="str">
        <f>IFERROR(VLOOKUP(B353,Activos!$A$5:$C$104,3,FALSE),"")</f>
        <v/>
      </c>
      <c r="D353" s="8"/>
      <c r="E353" s="19"/>
      <c r="F353" s="20"/>
      <c r="G353" s="17"/>
      <c r="H353" s="17"/>
      <c r="I353" s="18" t="str">
        <f t="shared" si="5"/>
        <v/>
      </c>
      <c r="J353" s="8"/>
    </row>
    <row r="354" spans="1:10" x14ac:dyDescent="0.3">
      <c r="A354" s="9"/>
      <c r="B354" s="8"/>
      <c r="C354" s="10" t="str">
        <f>IFERROR(VLOOKUP(B354,Activos!$A$5:$C$104,3,FALSE),"")</f>
        <v/>
      </c>
      <c r="D354" s="8"/>
      <c r="E354" s="19"/>
      <c r="F354" s="20"/>
      <c r="G354" s="17"/>
      <c r="H354" s="17"/>
      <c r="I354" s="18" t="str">
        <f t="shared" si="5"/>
        <v/>
      </c>
      <c r="J354" s="8"/>
    </row>
    <row r="355" spans="1:10" x14ac:dyDescent="0.3">
      <c r="A355" s="9"/>
      <c r="B355" s="8"/>
      <c r="C355" s="10" t="str">
        <f>IFERROR(VLOOKUP(B355,Activos!$A$5:$C$104,3,FALSE),"")</f>
        <v/>
      </c>
      <c r="D355" s="8"/>
      <c r="E355" s="19"/>
      <c r="F355" s="20"/>
      <c r="G355" s="17"/>
      <c r="H355" s="17"/>
      <c r="I355" s="18" t="str">
        <f t="shared" si="5"/>
        <v/>
      </c>
      <c r="J355" s="8"/>
    </row>
    <row r="356" spans="1:10" x14ac:dyDescent="0.3">
      <c r="A356" s="9"/>
      <c r="B356" s="8"/>
      <c r="C356" s="10" t="str">
        <f>IFERROR(VLOOKUP(B356,Activos!$A$5:$C$104,3,FALSE),"")</f>
        <v/>
      </c>
      <c r="D356" s="8"/>
      <c r="E356" s="19"/>
      <c r="F356" s="20"/>
      <c r="G356" s="17"/>
      <c r="H356" s="17"/>
      <c r="I356" s="18" t="str">
        <f t="shared" si="5"/>
        <v/>
      </c>
      <c r="J356" s="8"/>
    </row>
    <row r="357" spans="1:10" x14ac:dyDescent="0.3">
      <c r="A357" s="9"/>
      <c r="B357" s="8"/>
      <c r="C357" s="10" t="str">
        <f>IFERROR(VLOOKUP(B357,Activos!$A$5:$C$104,3,FALSE),"")</f>
        <v/>
      </c>
      <c r="D357" s="8"/>
      <c r="E357" s="19"/>
      <c r="F357" s="20"/>
      <c r="G357" s="17"/>
      <c r="H357" s="17"/>
      <c r="I357" s="18" t="str">
        <f t="shared" si="5"/>
        <v/>
      </c>
      <c r="J357" s="8"/>
    </row>
    <row r="358" spans="1:10" x14ac:dyDescent="0.3">
      <c r="A358" s="9"/>
      <c r="B358" s="8"/>
      <c r="C358" s="10" t="str">
        <f>IFERROR(VLOOKUP(B358,Activos!$A$5:$C$104,3,FALSE),"")</f>
        <v/>
      </c>
      <c r="D358" s="8"/>
      <c r="E358" s="19"/>
      <c r="F358" s="20"/>
      <c r="G358" s="17"/>
      <c r="H358" s="17"/>
      <c r="I358" s="18" t="str">
        <f t="shared" si="5"/>
        <v/>
      </c>
      <c r="J358" s="8"/>
    </row>
    <row r="359" spans="1:10" x14ac:dyDescent="0.3">
      <c r="A359" s="9"/>
      <c r="B359" s="8"/>
      <c r="C359" s="10" t="str">
        <f>IFERROR(VLOOKUP(B359,Activos!$A$5:$C$104,3,FALSE),"")</f>
        <v/>
      </c>
      <c r="D359" s="8"/>
      <c r="E359" s="19"/>
      <c r="F359" s="20"/>
      <c r="G359" s="17"/>
      <c r="H359" s="17"/>
      <c r="I359" s="18" t="str">
        <f t="shared" si="5"/>
        <v/>
      </c>
      <c r="J359" s="8"/>
    </row>
    <row r="360" spans="1:10" x14ac:dyDescent="0.3">
      <c r="A360" s="9"/>
      <c r="B360" s="8"/>
      <c r="C360" s="10" t="str">
        <f>IFERROR(VLOOKUP(B360,Activos!$A$5:$C$104,3,FALSE),"")</f>
        <v/>
      </c>
      <c r="D360" s="8"/>
      <c r="E360" s="19"/>
      <c r="F360" s="20"/>
      <c r="G360" s="17"/>
      <c r="H360" s="17"/>
      <c r="I360" s="18" t="str">
        <f t="shared" si="5"/>
        <v/>
      </c>
      <c r="J360" s="8"/>
    </row>
    <row r="361" spans="1:10" x14ac:dyDescent="0.3">
      <c r="A361" s="9"/>
      <c r="B361" s="8"/>
      <c r="C361" s="10" t="str">
        <f>IFERROR(VLOOKUP(B361,Activos!$A$5:$C$104,3,FALSE),"")</f>
        <v/>
      </c>
      <c r="D361" s="8"/>
      <c r="E361" s="19"/>
      <c r="F361" s="20"/>
      <c r="G361" s="17"/>
      <c r="H361" s="17"/>
      <c r="I361" s="18" t="str">
        <f t="shared" si="5"/>
        <v/>
      </c>
      <c r="J361" s="8"/>
    </row>
    <row r="362" spans="1:10" x14ac:dyDescent="0.3">
      <c r="A362" s="9"/>
      <c r="B362" s="8"/>
      <c r="C362" s="10" t="str">
        <f>IFERROR(VLOOKUP(B362,Activos!$A$5:$C$104,3,FALSE),"")</f>
        <v/>
      </c>
      <c r="D362" s="8"/>
      <c r="E362" s="19"/>
      <c r="F362" s="20"/>
      <c r="G362" s="17"/>
      <c r="H362" s="17"/>
      <c r="I362" s="18" t="str">
        <f t="shared" si="5"/>
        <v/>
      </c>
      <c r="J362" s="8"/>
    </row>
    <row r="363" spans="1:10" x14ac:dyDescent="0.3">
      <c r="A363" s="9"/>
      <c r="B363" s="8"/>
      <c r="C363" s="10" t="str">
        <f>IFERROR(VLOOKUP(B363,Activos!$A$5:$C$104,3,FALSE),"")</f>
        <v/>
      </c>
      <c r="D363" s="8"/>
      <c r="E363" s="19"/>
      <c r="F363" s="20"/>
      <c r="G363" s="17"/>
      <c r="H363" s="17"/>
      <c r="I363" s="18" t="str">
        <f t="shared" si="5"/>
        <v/>
      </c>
      <c r="J363" s="8"/>
    </row>
    <row r="364" spans="1:10" x14ac:dyDescent="0.3">
      <c r="A364" s="9"/>
      <c r="B364" s="8"/>
      <c r="C364" s="10" t="str">
        <f>IFERROR(VLOOKUP(B364,Activos!$A$5:$C$104,3,FALSE),"")</f>
        <v/>
      </c>
      <c r="D364" s="8"/>
      <c r="E364" s="19"/>
      <c r="F364" s="20"/>
      <c r="G364" s="17"/>
      <c r="H364" s="17"/>
      <c r="I364" s="18" t="str">
        <f t="shared" si="5"/>
        <v/>
      </c>
      <c r="J364" s="8"/>
    </row>
    <row r="365" spans="1:10" x14ac:dyDescent="0.3">
      <c r="A365" s="9"/>
      <c r="B365" s="8"/>
      <c r="C365" s="10" t="str">
        <f>IFERROR(VLOOKUP(B365,Activos!$A$5:$C$104,3,FALSE),"")</f>
        <v/>
      </c>
      <c r="D365" s="8"/>
      <c r="E365" s="19"/>
      <c r="F365" s="20"/>
      <c r="G365" s="17"/>
      <c r="H365" s="17"/>
      <c r="I365" s="18" t="str">
        <f t="shared" si="5"/>
        <v/>
      </c>
      <c r="J365" s="8"/>
    </row>
    <row r="366" spans="1:10" x14ac:dyDescent="0.3">
      <c r="A366" s="9"/>
      <c r="B366" s="8"/>
      <c r="C366" s="10" t="str">
        <f>IFERROR(VLOOKUP(B366,Activos!$A$5:$C$104,3,FALSE),"")</f>
        <v/>
      </c>
      <c r="D366" s="8"/>
      <c r="E366" s="19"/>
      <c r="F366" s="20"/>
      <c r="G366" s="17"/>
      <c r="H366" s="17"/>
      <c r="I366" s="18" t="str">
        <f t="shared" si="5"/>
        <v/>
      </c>
      <c r="J366" s="8"/>
    </row>
    <row r="367" spans="1:10" x14ac:dyDescent="0.3">
      <c r="A367" s="9"/>
      <c r="B367" s="8"/>
      <c r="C367" s="10" t="str">
        <f>IFERROR(VLOOKUP(B367,Activos!$A$5:$C$104,3,FALSE),"")</f>
        <v/>
      </c>
      <c r="D367" s="8"/>
      <c r="E367" s="19"/>
      <c r="F367" s="20"/>
      <c r="G367" s="17"/>
      <c r="H367" s="17"/>
      <c r="I367" s="18" t="str">
        <f t="shared" si="5"/>
        <v/>
      </c>
      <c r="J367" s="8"/>
    </row>
    <row r="368" spans="1:10" x14ac:dyDescent="0.3">
      <c r="A368" s="9"/>
      <c r="B368" s="8"/>
      <c r="C368" s="10" t="str">
        <f>IFERROR(VLOOKUP(B368,Activos!$A$5:$C$104,3,FALSE),"")</f>
        <v/>
      </c>
      <c r="D368" s="8"/>
      <c r="E368" s="19"/>
      <c r="F368" s="20"/>
      <c r="G368" s="17"/>
      <c r="H368" s="17"/>
      <c r="I368" s="18" t="str">
        <f t="shared" si="5"/>
        <v/>
      </c>
      <c r="J368" s="8"/>
    </row>
    <row r="369" spans="1:10" x14ac:dyDescent="0.3">
      <c r="A369" s="9"/>
      <c r="B369" s="8"/>
      <c r="C369" s="10" t="str">
        <f>IFERROR(VLOOKUP(B369,Activos!$A$5:$C$104,3,FALSE),"")</f>
        <v/>
      </c>
      <c r="D369" s="8"/>
      <c r="E369" s="19"/>
      <c r="F369" s="20"/>
      <c r="G369" s="17"/>
      <c r="H369" s="17"/>
      <c r="I369" s="18" t="str">
        <f t="shared" si="5"/>
        <v/>
      </c>
      <c r="J369" s="8"/>
    </row>
    <row r="370" spans="1:10" x14ac:dyDescent="0.3">
      <c r="A370" s="9"/>
      <c r="B370" s="8"/>
      <c r="C370" s="10" t="str">
        <f>IFERROR(VLOOKUP(B370,Activos!$A$5:$C$104,3,FALSE),"")</f>
        <v/>
      </c>
      <c r="D370" s="8"/>
      <c r="E370" s="19"/>
      <c r="F370" s="20"/>
      <c r="G370" s="17"/>
      <c r="H370" s="17"/>
      <c r="I370" s="18" t="str">
        <f t="shared" si="5"/>
        <v/>
      </c>
      <c r="J370" s="8"/>
    </row>
    <row r="371" spans="1:10" x14ac:dyDescent="0.3">
      <c r="A371" s="9"/>
      <c r="B371" s="8"/>
      <c r="C371" s="10" t="str">
        <f>IFERROR(VLOOKUP(B371,Activos!$A$5:$C$104,3,FALSE),"")</f>
        <v/>
      </c>
      <c r="D371" s="8"/>
      <c r="E371" s="19"/>
      <c r="F371" s="20"/>
      <c r="G371" s="17"/>
      <c r="H371" s="17"/>
      <c r="I371" s="18" t="str">
        <f t="shared" si="5"/>
        <v/>
      </c>
      <c r="J371" s="8"/>
    </row>
    <row r="372" spans="1:10" x14ac:dyDescent="0.3">
      <c r="A372" s="9"/>
      <c r="B372" s="8"/>
      <c r="C372" s="10" t="str">
        <f>IFERROR(VLOOKUP(B372,Activos!$A$5:$C$104,3,FALSE),"")</f>
        <v/>
      </c>
      <c r="D372" s="8"/>
      <c r="E372" s="19"/>
      <c r="F372" s="20"/>
      <c r="G372" s="17"/>
      <c r="H372" s="17"/>
      <c r="I372" s="18" t="str">
        <f t="shared" si="5"/>
        <v/>
      </c>
      <c r="J372" s="8"/>
    </row>
    <row r="373" spans="1:10" x14ac:dyDescent="0.3">
      <c r="A373" s="9"/>
      <c r="B373" s="8"/>
      <c r="C373" s="10" t="str">
        <f>IFERROR(VLOOKUP(B373,Activos!$A$5:$C$104,3,FALSE),"")</f>
        <v/>
      </c>
      <c r="D373" s="8"/>
      <c r="E373" s="19"/>
      <c r="F373" s="20"/>
      <c r="G373" s="17"/>
      <c r="H373" s="17"/>
      <c r="I373" s="18" t="str">
        <f t="shared" si="5"/>
        <v/>
      </c>
      <c r="J373" s="8"/>
    </row>
    <row r="374" spans="1:10" x14ac:dyDescent="0.3">
      <c r="A374" s="9"/>
      <c r="B374" s="8"/>
      <c r="C374" s="10" t="str">
        <f>IFERROR(VLOOKUP(B374,Activos!$A$5:$C$104,3,FALSE),"")</f>
        <v/>
      </c>
      <c r="D374" s="8"/>
      <c r="E374" s="19"/>
      <c r="F374" s="20"/>
      <c r="G374" s="17"/>
      <c r="H374" s="17"/>
      <c r="I374" s="18" t="str">
        <f t="shared" si="5"/>
        <v/>
      </c>
      <c r="J374" s="8"/>
    </row>
    <row r="375" spans="1:10" x14ac:dyDescent="0.3">
      <c r="A375" s="9"/>
      <c r="B375" s="8"/>
      <c r="C375" s="10" t="str">
        <f>IFERROR(VLOOKUP(B375,Activos!$A$5:$C$104,3,FALSE),"")</f>
        <v/>
      </c>
      <c r="D375" s="8"/>
      <c r="E375" s="19"/>
      <c r="F375" s="20"/>
      <c r="G375" s="17"/>
      <c r="H375" s="17"/>
      <c r="I375" s="18" t="str">
        <f t="shared" si="5"/>
        <v/>
      </c>
      <c r="J375" s="8"/>
    </row>
    <row r="376" spans="1:10" x14ac:dyDescent="0.3">
      <c r="A376" s="9"/>
      <c r="B376" s="8"/>
      <c r="C376" s="10" t="str">
        <f>IFERROR(VLOOKUP(B376,Activos!$A$5:$C$104,3,FALSE),"")</f>
        <v/>
      </c>
      <c r="D376" s="8"/>
      <c r="E376" s="19"/>
      <c r="F376" s="20"/>
      <c r="G376" s="17"/>
      <c r="H376" s="17"/>
      <c r="I376" s="18" t="str">
        <f t="shared" si="5"/>
        <v/>
      </c>
      <c r="J376" s="8"/>
    </row>
    <row r="377" spans="1:10" x14ac:dyDescent="0.3">
      <c r="A377" s="9"/>
      <c r="B377" s="8"/>
      <c r="C377" s="10" t="str">
        <f>IFERROR(VLOOKUP(B377,Activos!$A$5:$C$104,3,FALSE),"")</f>
        <v/>
      </c>
      <c r="D377" s="8"/>
      <c r="E377" s="19"/>
      <c r="F377" s="20"/>
      <c r="G377" s="17"/>
      <c r="H377" s="17"/>
      <c r="I377" s="18" t="str">
        <f t="shared" si="5"/>
        <v/>
      </c>
      <c r="J377" s="8"/>
    </row>
    <row r="378" spans="1:10" x14ac:dyDescent="0.3">
      <c r="A378" s="9"/>
      <c r="B378" s="8"/>
      <c r="C378" s="10" t="str">
        <f>IFERROR(VLOOKUP(B378,Activos!$A$5:$C$104,3,FALSE),"")</f>
        <v/>
      </c>
      <c r="D378" s="8"/>
      <c r="E378" s="19"/>
      <c r="F378" s="20"/>
      <c r="G378" s="17"/>
      <c r="H378" s="17"/>
      <c r="I378" s="18" t="str">
        <f t="shared" si="5"/>
        <v/>
      </c>
      <c r="J378" s="8"/>
    </row>
    <row r="379" spans="1:10" x14ac:dyDescent="0.3">
      <c r="A379" s="9"/>
      <c r="B379" s="8"/>
      <c r="C379" s="10" t="str">
        <f>IFERROR(VLOOKUP(B379,Activos!$A$5:$C$104,3,FALSE),"")</f>
        <v/>
      </c>
      <c r="D379" s="8"/>
      <c r="E379" s="19"/>
      <c r="F379" s="20"/>
      <c r="G379" s="17"/>
      <c r="H379" s="17"/>
      <c r="I379" s="18" t="str">
        <f t="shared" si="5"/>
        <v/>
      </c>
      <c r="J379" s="8"/>
    </row>
    <row r="380" spans="1:10" x14ac:dyDescent="0.3">
      <c r="A380" s="9"/>
      <c r="B380" s="8"/>
      <c r="C380" s="10" t="str">
        <f>IFERROR(VLOOKUP(B380,Activos!$A$5:$C$104,3,FALSE),"")</f>
        <v/>
      </c>
      <c r="D380" s="8"/>
      <c r="E380" s="19"/>
      <c r="F380" s="20"/>
      <c r="G380" s="17"/>
      <c r="H380" s="17"/>
      <c r="I380" s="18" t="str">
        <f t="shared" si="5"/>
        <v/>
      </c>
      <c r="J380" s="8"/>
    </row>
    <row r="381" spans="1:10" x14ac:dyDescent="0.3">
      <c r="A381" s="9"/>
      <c r="B381" s="8"/>
      <c r="C381" s="10" t="str">
        <f>IFERROR(VLOOKUP(B381,Activos!$A$5:$C$104,3,FALSE),"")</f>
        <v/>
      </c>
      <c r="D381" s="8"/>
      <c r="E381" s="19"/>
      <c r="F381" s="20"/>
      <c r="G381" s="17"/>
      <c r="H381" s="17"/>
      <c r="I381" s="18" t="str">
        <f t="shared" si="5"/>
        <v/>
      </c>
      <c r="J381" s="8"/>
    </row>
    <row r="382" spans="1:10" x14ac:dyDescent="0.3">
      <c r="A382" s="9"/>
      <c r="B382" s="8"/>
      <c r="C382" s="10" t="str">
        <f>IFERROR(VLOOKUP(B382,Activos!$A$5:$C$104,3,FALSE),"")</f>
        <v/>
      </c>
      <c r="D382" s="8"/>
      <c r="E382" s="19"/>
      <c r="F382" s="20"/>
      <c r="G382" s="17"/>
      <c r="H382" s="17"/>
      <c r="I382" s="18" t="str">
        <f t="shared" si="5"/>
        <v/>
      </c>
      <c r="J382" s="8"/>
    </row>
    <row r="383" spans="1:10" x14ac:dyDescent="0.3">
      <c r="A383" s="9"/>
      <c r="B383" s="8"/>
      <c r="C383" s="10" t="str">
        <f>IFERROR(VLOOKUP(B383,Activos!$A$5:$C$104,3,FALSE),"")</f>
        <v/>
      </c>
      <c r="D383" s="8"/>
      <c r="E383" s="19"/>
      <c r="F383" s="20"/>
      <c r="G383" s="17"/>
      <c r="H383" s="17"/>
      <c r="I383" s="18" t="str">
        <f t="shared" si="5"/>
        <v/>
      </c>
      <c r="J383" s="8"/>
    </row>
    <row r="384" spans="1:10" x14ac:dyDescent="0.3">
      <c r="A384" s="9"/>
      <c r="B384" s="8"/>
      <c r="C384" s="10" t="str">
        <f>IFERROR(VLOOKUP(B384,Activos!$A$5:$C$104,3,FALSE),"")</f>
        <v/>
      </c>
      <c r="D384" s="8"/>
      <c r="E384" s="19"/>
      <c r="F384" s="20"/>
      <c r="G384" s="17"/>
      <c r="H384" s="17"/>
      <c r="I384" s="18" t="str">
        <f t="shared" si="5"/>
        <v/>
      </c>
      <c r="J384" s="8"/>
    </row>
    <row r="385" spans="1:10" x14ac:dyDescent="0.3">
      <c r="A385" s="9"/>
      <c r="B385" s="8"/>
      <c r="C385" s="10" t="str">
        <f>IFERROR(VLOOKUP(B385,Activos!$A$5:$C$104,3,FALSE),"")</f>
        <v/>
      </c>
      <c r="D385" s="8"/>
      <c r="E385" s="19"/>
      <c r="F385" s="20"/>
      <c r="G385" s="17"/>
      <c r="H385" s="17"/>
      <c r="I385" s="18" t="str">
        <f t="shared" si="5"/>
        <v/>
      </c>
      <c r="J385" s="8"/>
    </row>
    <row r="386" spans="1:10" x14ac:dyDescent="0.3">
      <c r="A386" s="9"/>
      <c r="B386" s="8"/>
      <c r="C386" s="10" t="str">
        <f>IFERROR(VLOOKUP(B386,Activos!$A$5:$C$104,3,FALSE),"")</f>
        <v/>
      </c>
      <c r="D386" s="8"/>
      <c r="E386" s="19"/>
      <c r="F386" s="20"/>
      <c r="G386" s="17"/>
      <c r="H386" s="17"/>
      <c r="I386" s="18" t="str">
        <f t="shared" si="5"/>
        <v/>
      </c>
      <c r="J386" s="8"/>
    </row>
    <row r="387" spans="1:10" x14ac:dyDescent="0.3">
      <c r="A387" s="9"/>
      <c r="B387" s="8"/>
      <c r="C387" s="10" t="str">
        <f>IFERROR(VLOOKUP(B387,Activos!$A$5:$C$104,3,FALSE),"")</f>
        <v/>
      </c>
      <c r="D387" s="8"/>
      <c r="E387" s="19"/>
      <c r="F387" s="20"/>
      <c r="G387" s="17"/>
      <c r="H387" s="17"/>
      <c r="I387" s="18" t="str">
        <f t="shared" si="5"/>
        <v/>
      </c>
      <c r="J387" s="8"/>
    </row>
    <row r="388" spans="1:10" x14ac:dyDescent="0.3">
      <c r="A388" s="9"/>
      <c r="B388" s="8"/>
      <c r="C388" s="10" t="str">
        <f>IFERROR(VLOOKUP(B388,Activos!$A$5:$C$104,3,FALSE),"")</f>
        <v/>
      </c>
      <c r="D388" s="8"/>
      <c r="E388" s="19"/>
      <c r="F388" s="20"/>
      <c r="G388" s="17"/>
      <c r="H388" s="17"/>
      <c r="I388" s="18" t="str">
        <f t="shared" si="5"/>
        <v/>
      </c>
      <c r="J388" s="8"/>
    </row>
    <row r="389" spans="1:10" x14ac:dyDescent="0.3">
      <c r="A389" s="9"/>
      <c r="B389" s="8"/>
      <c r="C389" s="10" t="str">
        <f>IFERROR(VLOOKUP(B389,Activos!$A$5:$C$104,3,FALSE),"")</f>
        <v/>
      </c>
      <c r="D389" s="8"/>
      <c r="E389" s="19"/>
      <c r="F389" s="20"/>
      <c r="G389" s="17"/>
      <c r="H389" s="17"/>
      <c r="I389" s="18" t="str">
        <f t="shared" ref="I389:I452" si="6">IF(OR(D389="",G389=""),"",IF(D389="COMPRA",-G389-IF(H389="",0,H389),IF(D389="VENTA",G389-IF(H389="",0,H389),"")))</f>
        <v/>
      </c>
      <c r="J389" s="8"/>
    </row>
    <row r="390" spans="1:10" x14ac:dyDescent="0.3">
      <c r="A390" s="9"/>
      <c r="B390" s="8"/>
      <c r="C390" s="10" t="str">
        <f>IFERROR(VLOOKUP(B390,Activos!$A$5:$C$104,3,FALSE),"")</f>
        <v/>
      </c>
      <c r="D390" s="8"/>
      <c r="E390" s="19"/>
      <c r="F390" s="20"/>
      <c r="G390" s="17"/>
      <c r="H390" s="17"/>
      <c r="I390" s="18" t="str">
        <f t="shared" si="6"/>
        <v/>
      </c>
      <c r="J390" s="8"/>
    </row>
    <row r="391" spans="1:10" x14ac:dyDescent="0.3">
      <c r="A391" s="9"/>
      <c r="B391" s="8"/>
      <c r="C391" s="10" t="str">
        <f>IFERROR(VLOOKUP(B391,Activos!$A$5:$C$104,3,FALSE),"")</f>
        <v/>
      </c>
      <c r="D391" s="8"/>
      <c r="E391" s="19"/>
      <c r="F391" s="20"/>
      <c r="G391" s="17"/>
      <c r="H391" s="17"/>
      <c r="I391" s="18" t="str">
        <f t="shared" si="6"/>
        <v/>
      </c>
      <c r="J391" s="8"/>
    </row>
    <row r="392" spans="1:10" x14ac:dyDescent="0.3">
      <c r="A392" s="9"/>
      <c r="B392" s="8"/>
      <c r="C392" s="10" t="str">
        <f>IFERROR(VLOOKUP(B392,Activos!$A$5:$C$104,3,FALSE),"")</f>
        <v/>
      </c>
      <c r="D392" s="8"/>
      <c r="E392" s="19"/>
      <c r="F392" s="20"/>
      <c r="G392" s="17"/>
      <c r="H392" s="17"/>
      <c r="I392" s="18" t="str">
        <f t="shared" si="6"/>
        <v/>
      </c>
      <c r="J392" s="8"/>
    </row>
    <row r="393" spans="1:10" x14ac:dyDescent="0.3">
      <c r="A393" s="9"/>
      <c r="B393" s="8"/>
      <c r="C393" s="10" t="str">
        <f>IFERROR(VLOOKUP(B393,Activos!$A$5:$C$104,3,FALSE),"")</f>
        <v/>
      </c>
      <c r="D393" s="8"/>
      <c r="E393" s="19"/>
      <c r="F393" s="20"/>
      <c r="G393" s="17"/>
      <c r="H393" s="17"/>
      <c r="I393" s="18" t="str">
        <f t="shared" si="6"/>
        <v/>
      </c>
      <c r="J393" s="8"/>
    </row>
    <row r="394" spans="1:10" x14ac:dyDescent="0.3">
      <c r="A394" s="9"/>
      <c r="B394" s="8"/>
      <c r="C394" s="10" t="str">
        <f>IFERROR(VLOOKUP(B394,Activos!$A$5:$C$104,3,FALSE),"")</f>
        <v/>
      </c>
      <c r="D394" s="8"/>
      <c r="E394" s="19"/>
      <c r="F394" s="20"/>
      <c r="G394" s="17"/>
      <c r="H394" s="17"/>
      <c r="I394" s="18" t="str">
        <f t="shared" si="6"/>
        <v/>
      </c>
      <c r="J394" s="8"/>
    </row>
    <row r="395" spans="1:10" x14ac:dyDescent="0.3">
      <c r="A395" s="9"/>
      <c r="B395" s="8"/>
      <c r="C395" s="10" t="str">
        <f>IFERROR(VLOOKUP(B395,Activos!$A$5:$C$104,3,FALSE),"")</f>
        <v/>
      </c>
      <c r="D395" s="8"/>
      <c r="E395" s="19"/>
      <c r="F395" s="20"/>
      <c r="G395" s="17"/>
      <c r="H395" s="17"/>
      <c r="I395" s="18" t="str">
        <f t="shared" si="6"/>
        <v/>
      </c>
      <c r="J395" s="8"/>
    </row>
    <row r="396" spans="1:10" x14ac:dyDescent="0.3">
      <c r="A396" s="9"/>
      <c r="B396" s="8"/>
      <c r="C396" s="10" t="str">
        <f>IFERROR(VLOOKUP(B396,Activos!$A$5:$C$104,3,FALSE),"")</f>
        <v/>
      </c>
      <c r="D396" s="8"/>
      <c r="E396" s="19"/>
      <c r="F396" s="20"/>
      <c r="G396" s="17"/>
      <c r="H396" s="17"/>
      <c r="I396" s="18" t="str">
        <f t="shared" si="6"/>
        <v/>
      </c>
      <c r="J396" s="8"/>
    </row>
    <row r="397" spans="1:10" x14ac:dyDescent="0.3">
      <c r="A397" s="9"/>
      <c r="B397" s="8"/>
      <c r="C397" s="10" t="str">
        <f>IFERROR(VLOOKUP(B397,Activos!$A$5:$C$104,3,FALSE),"")</f>
        <v/>
      </c>
      <c r="D397" s="8"/>
      <c r="E397" s="19"/>
      <c r="F397" s="20"/>
      <c r="G397" s="17"/>
      <c r="H397" s="17"/>
      <c r="I397" s="18" t="str">
        <f t="shared" si="6"/>
        <v/>
      </c>
      <c r="J397" s="8"/>
    </row>
    <row r="398" spans="1:10" x14ac:dyDescent="0.3">
      <c r="A398" s="9"/>
      <c r="B398" s="8"/>
      <c r="C398" s="10" t="str">
        <f>IFERROR(VLOOKUP(B398,Activos!$A$5:$C$104,3,FALSE),"")</f>
        <v/>
      </c>
      <c r="D398" s="8"/>
      <c r="E398" s="19"/>
      <c r="F398" s="20"/>
      <c r="G398" s="17"/>
      <c r="H398" s="17"/>
      <c r="I398" s="18" t="str">
        <f t="shared" si="6"/>
        <v/>
      </c>
      <c r="J398" s="8"/>
    </row>
    <row r="399" spans="1:10" x14ac:dyDescent="0.3">
      <c r="A399" s="9"/>
      <c r="B399" s="8"/>
      <c r="C399" s="10" t="str">
        <f>IFERROR(VLOOKUP(B399,Activos!$A$5:$C$104,3,FALSE),"")</f>
        <v/>
      </c>
      <c r="D399" s="8"/>
      <c r="E399" s="19"/>
      <c r="F399" s="20"/>
      <c r="G399" s="17"/>
      <c r="H399" s="17"/>
      <c r="I399" s="18" t="str">
        <f t="shared" si="6"/>
        <v/>
      </c>
      <c r="J399" s="8"/>
    </row>
    <row r="400" spans="1:10" x14ac:dyDescent="0.3">
      <c r="A400" s="9"/>
      <c r="B400" s="8"/>
      <c r="C400" s="10" t="str">
        <f>IFERROR(VLOOKUP(B400,Activos!$A$5:$C$104,3,FALSE),"")</f>
        <v/>
      </c>
      <c r="D400" s="8"/>
      <c r="E400" s="19"/>
      <c r="F400" s="20"/>
      <c r="G400" s="17"/>
      <c r="H400" s="17"/>
      <c r="I400" s="18" t="str">
        <f t="shared" si="6"/>
        <v/>
      </c>
      <c r="J400" s="8"/>
    </row>
    <row r="401" spans="1:10" x14ac:dyDescent="0.3">
      <c r="A401" s="9"/>
      <c r="B401" s="8"/>
      <c r="C401" s="10" t="str">
        <f>IFERROR(VLOOKUP(B401,Activos!$A$5:$C$104,3,FALSE),"")</f>
        <v/>
      </c>
      <c r="D401" s="8"/>
      <c r="E401" s="19"/>
      <c r="F401" s="20"/>
      <c r="G401" s="17"/>
      <c r="H401" s="17"/>
      <c r="I401" s="18" t="str">
        <f t="shared" si="6"/>
        <v/>
      </c>
      <c r="J401" s="8"/>
    </row>
    <row r="402" spans="1:10" x14ac:dyDescent="0.3">
      <c r="A402" s="9"/>
      <c r="B402" s="8"/>
      <c r="C402" s="10" t="str">
        <f>IFERROR(VLOOKUP(B402,Activos!$A$5:$C$104,3,FALSE),"")</f>
        <v/>
      </c>
      <c r="D402" s="8"/>
      <c r="E402" s="19"/>
      <c r="F402" s="20"/>
      <c r="G402" s="17"/>
      <c r="H402" s="17"/>
      <c r="I402" s="18" t="str">
        <f t="shared" si="6"/>
        <v/>
      </c>
      <c r="J402" s="8"/>
    </row>
    <row r="403" spans="1:10" x14ac:dyDescent="0.3">
      <c r="A403" s="9"/>
      <c r="B403" s="8"/>
      <c r="C403" s="10" t="str">
        <f>IFERROR(VLOOKUP(B403,Activos!$A$5:$C$104,3,FALSE),"")</f>
        <v/>
      </c>
      <c r="D403" s="8"/>
      <c r="E403" s="19"/>
      <c r="F403" s="20"/>
      <c r="G403" s="17"/>
      <c r="H403" s="17"/>
      <c r="I403" s="18" t="str">
        <f t="shared" si="6"/>
        <v/>
      </c>
      <c r="J403" s="8"/>
    </row>
    <row r="404" spans="1:10" x14ac:dyDescent="0.3">
      <c r="A404" s="9"/>
      <c r="B404" s="8"/>
      <c r="C404" s="10" t="str">
        <f>IFERROR(VLOOKUP(B404,Activos!$A$5:$C$104,3,FALSE),"")</f>
        <v/>
      </c>
      <c r="D404" s="8"/>
      <c r="E404" s="19"/>
      <c r="F404" s="20"/>
      <c r="G404" s="17"/>
      <c r="H404" s="17"/>
      <c r="I404" s="18" t="str">
        <f t="shared" si="6"/>
        <v/>
      </c>
      <c r="J404" s="8"/>
    </row>
    <row r="405" spans="1:10" x14ac:dyDescent="0.3">
      <c r="A405" s="9"/>
      <c r="B405" s="8"/>
      <c r="C405" s="10" t="str">
        <f>IFERROR(VLOOKUP(B405,Activos!$A$5:$C$104,3,FALSE),"")</f>
        <v/>
      </c>
      <c r="D405" s="8"/>
      <c r="E405" s="19"/>
      <c r="F405" s="20"/>
      <c r="G405" s="17"/>
      <c r="H405" s="17"/>
      <c r="I405" s="18" t="str">
        <f t="shared" si="6"/>
        <v/>
      </c>
      <c r="J405" s="8"/>
    </row>
    <row r="406" spans="1:10" x14ac:dyDescent="0.3">
      <c r="A406" s="9"/>
      <c r="B406" s="8"/>
      <c r="C406" s="10" t="str">
        <f>IFERROR(VLOOKUP(B406,Activos!$A$5:$C$104,3,FALSE),"")</f>
        <v/>
      </c>
      <c r="D406" s="8"/>
      <c r="E406" s="19"/>
      <c r="F406" s="20"/>
      <c r="G406" s="17"/>
      <c r="H406" s="17"/>
      <c r="I406" s="18" t="str">
        <f t="shared" si="6"/>
        <v/>
      </c>
      <c r="J406" s="8"/>
    </row>
    <row r="407" spans="1:10" x14ac:dyDescent="0.3">
      <c r="A407" s="9"/>
      <c r="B407" s="8"/>
      <c r="C407" s="10" t="str">
        <f>IFERROR(VLOOKUP(B407,Activos!$A$5:$C$104,3,FALSE),"")</f>
        <v/>
      </c>
      <c r="D407" s="8"/>
      <c r="E407" s="19"/>
      <c r="F407" s="20"/>
      <c r="G407" s="17"/>
      <c r="H407" s="17"/>
      <c r="I407" s="18" t="str">
        <f t="shared" si="6"/>
        <v/>
      </c>
      <c r="J407" s="8"/>
    </row>
    <row r="408" spans="1:10" x14ac:dyDescent="0.3">
      <c r="A408" s="9"/>
      <c r="B408" s="8"/>
      <c r="C408" s="10" t="str">
        <f>IFERROR(VLOOKUP(B408,Activos!$A$5:$C$104,3,FALSE),"")</f>
        <v/>
      </c>
      <c r="D408" s="8"/>
      <c r="E408" s="19"/>
      <c r="F408" s="20"/>
      <c r="G408" s="17"/>
      <c r="H408" s="17"/>
      <c r="I408" s="18" t="str">
        <f t="shared" si="6"/>
        <v/>
      </c>
      <c r="J408" s="8"/>
    </row>
    <row r="409" spans="1:10" x14ac:dyDescent="0.3">
      <c r="A409" s="9"/>
      <c r="B409" s="8"/>
      <c r="C409" s="10" t="str">
        <f>IFERROR(VLOOKUP(B409,Activos!$A$5:$C$104,3,FALSE),"")</f>
        <v/>
      </c>
      <c r="D409" s="8"/>
      <c r="E409" s="19"/>
      <c r="F409" s="20"/>
      <c r="G409" s="17"/>
      <c r="H409" s="17"/>
      <c r="I409" s="18" t="str">
        <f t="shared" si="6"/>
        <v/>
      </c>
      <c r="J409" s="8"/>
    </row>
    <row r="410" spans="1:10" x14ac:dyDescent="0.3">
      <c r="A410" s="9"/>
      <c r="B410" s="8"/>
      <c r="C410" s="10" t="str">
        <f>IFERROR(VLOOKUP(B410,Activos!$A$5:$C$104,3,FALSE),"")</f>
        <v/>
      </c>
      <c r="D410" s="8"/>
      <c r="E410" s="19"/>
      <c r="F410" s="20"/>
      <c r="G410" s="17"/>
      <c r="H410" s="17"/>
      <c r="I410" s="18" t="str">
        <f t="shared" si="6"/>
        <v/>
      </c>
      <c r="J410" s="8"/>
    </row>
    <row r="411" spans="1:10" x14ac:dyDescent="0.3">
      <c r="A411" s="9"/>
      <c r="B411" s="8"/>
      <c r="C411" s="10" t="str">
        <f>IFERROR(VLOOKUP(B411,Activos!$A$5:$C$104,3,FALSE),"")</f>
        <v/>
      </c>
      <c r="D411" s="8"/>
      <c r="E411" s="19"/>
      <c r="F411" s="20"/>
      <c r="G411" s="17"/>
      <c r="H411" s="17"/>
      <c r="I411" s="18" t="str">
        <f t="shared" si="6"/>
        <v/>
      </c>
      <c r="J411" s="8"/>
    </row>
    <row r="412" spans="1:10" x14ac:dyDescent="0.3">
      <c r="A412" s="9"/>
      <c r="B412" s="8"/>
      <c r="C412" s="10" t="str">
        <f>IFERROR(VLOOKUP(B412,Activos!$A$5:$C$104,3,FALSE),"")</f>
        <v/>
      </c>
      <c r="D412" s="8"/>
      <c r="E412" s="19"/>
      <c r="F412" s="20"/>
      <c r="G412" s="17"/>
      <c r="H412" s="17"/>
      <c r="I412" s="18" t="str">
        <f t="shared" si="6"/>
        <v/>
      </c>
      <c r="J412" s="8"/>
    </row>
    <row r="413" spans="1:10" x14ac:dyDescent="0.3">
      <c r="A413" s="9"/>
      <c r="B413" s="8"/>
      <c r="C413" s="10" t="str">
        <f>IFERROR(VLOOKUP(B413,Activos!$A$5:$C$104,3,FALSE),"")</f>
        <v/>
      </c>
      <c r="D413" s="8"/>
      <c r="E413" s="19"/>
      <c r="F413" s="20"/>
      <c r="G413" s="17"/>
      <c r="H413" s="17"/>
      <c r="I413" s="18" t="str">
        <f t="shared" si="6"/>
        <v/>
      </c>
      <c r="J413" s="8"/>
    </row>
    <row r="414" spans="1:10" x14ac:dyDescent="0.3">
      <c r="A414" s="9"/>
      <c r="B414" s="8"/>
      <c r="C414" s="10" t="str">
        <f>IFERROR(VLOOKUP(B414,Activos!$A$5:$C$104,3,FALSE),"")</f>
        <v/>
      </c>
      <c r="D414" s="8"/>
      <c r="E414" s="19"/>
      <c r="F414" s="20"/>
      <c r="G414" s="17"/>
      <c r="H414" s="17"/>
      <c r="I414" s="18" t="str">
        <f t="shared" si="6"/>
        <v/>
      </c>
      <c r="J414" s="8"/>
    </row>
    <row r="415" spans="1:10" x14ac:dyDescent="0.3">
      <c r="A415" s="9"/>
      <c r="B415" s="8"/>
      <c r="C415" s="10" t="str">
        <f>IFERROR(VLOOKUP(B415,Activos!$A$5:$C$104,3,FALSE),"")</f>
        <v/>
      </c>
      <c r="D415" s="8"/>
      <c r="E415" s="19"/>
      <c r="F415" s="20"/>
      <c r="G415" s="17"/>
      <c r="H415" s="17"/>
      <c r="I415" s="18" t="str">
        <f t="shared" si="6"/>
        <v/>
      </c>
      <c r="J415" s="8"/>
    </row>
    <row r="416" spans="1:10" x14ac:dyDescent="0.3">
      <c r="A416" s="9"/>
      <c r="B416" s="8"/>
      <c r="C416" s="10" t="str">
        <f>IFERROR(VLOOKUP(B416,Activos!$A$5:$C$104,3,FALSE),"")</f>
        <v/>
      </c>
      <c r="D416" s="8"/>
      <c r="E416" s="19"/>
      <c r="F416" s="20"/>
      <c r="G416" s="17"/>
      <c r="H416" s="17"/>
      <c r="I416" s="18" t="str">
        <f t="shared" si="6"/>
        <v/>
      </c>
      <c r="J416" s="8"/>
    </row>
    <row r="417" spans="1:10" x14ac:dyDescent="0.3">
      <c r="A417" s="9"/>
      <c r="B417" s="8"/>
      <c r="C417" s="10" t="str">
        <f>IFERROR(VLOOKUP(B417,Activos!$A$5:$C$104,3,FALSE),"")</f>
        <v/>
      </c>
      <c r="D417" s="8"/>
      <c r="E417" s="19"/>
      <c r="F417" s="20"/>
      <c r="G417" s="17"/>
      <c r="H417" s="17"/>
      <c r="I417" s="18" t="str">
        <f t="shared" si="6"/>
        <v/>
      </c>
      <c r="J417" s="8"/>
    </row>
    <row r="418" spans="1:10" x14ac:dyDescent="0.3">
      <c r="A418" s="9"/>
      <c r="B418" s="8"/>
      <c r="C418" s="10" t="str">
        <f>IFERROR(VLOOKUP(B418,Activos!$A$5:$C$104,3,FALSE),"")</f>
        <v/>
      </c>
      <c r="D418" s="8"/>
      <c r="E418" s="19"/>
      <c r="F418" s="20"/>
      <c r="G418" s="17"/>
      <c r="H418" s="17"/>
      <c r="I418" s="18" t="str">
        <f t="shared" si="6"/>
        <v/>
      </c>
      <c r="J418" s="8"/>
    </row>
    <row r="419" spans="1:10" x14ac:dyDescent="0.3">
      <c r="A419" s="9"/>
      <c r="B419" s="8"/>
      <c r="C419" s="10" t="str">
        <f>IFERROR(VLOOKUP(B419,Activos!$A$5:$C$104,3,FALSE),"")</f>
        <v/>
      </c>
      <c r="D419" s="8"/>
      <c r="E419" s="19"/>
      <c r="F419" s="20"/>
      <c r="G419" s="17"/>
      <c r="H419" s="17"/>
      <c r="I419" s="18" t="str">
        <f t="shared" si="6"/>
        <v/>
      </c>
      <c r="J419" s="8"/>
    </row>
    <row r="420" spans="1:10" x14ac:dyDescent="0.3">
      <c r="A420" s="9"/>
      <c r="B420" s="8"/>
      <c r="C420" s="10" t="str">
        <f>IFERROR(VLOOKUP(B420,Activos!$A$5:$C$104,3,FALSE),"")</f>
        <v/>
      </c>
      <c r="D420" s="8"/>
      <c r="E420" s="19"/>
      <c r="F420" s="20"/>
      <c r="G420" s="17"/>
      <c r="H420" s="17"/>
      <c r="I420" s="18" t="str">
        <f t="shared" si="6"/>
        <v/>
      </c>
      <c r="J420" s="8"/>
    </row>
    <row r="421" spans="1:10" x14ac:dyDescent="0.3">
      <c r="A421" s="9"/>
      <c r="B421" s="8"/>
      <c r="C421" s="10" t="str">
        <f>IFERROR(VLOOKUP(B421,Activos!$A$5:$C$104,3,FALSE),"")</f>
        <v/>
      </c>
      <c r="D421" s="8"/>
      <c r="E421" s="19"/>
      <c r="F421" s="20"/>
      <c r="G421" s="17"/>
      <c r="H421" s="17"/>
      <c r="I421" s="18" t="str">
        <f t="shared" si="6"/>
        <v/>
      </c>
      <c r="J421" s="8"/>
    </row>
    <row r="422" spans="1:10" x14ac:dyDescent="0.3">
      <c r="A422" s="9"/>
      <c r="B422" s="8"/>
      <c r="C422" s="10" t="str">
        <f>IFERROR(VLOOKUP(B422,Activos!$A$5:$C$104,3,FALSE),"")</f>
        <v/>
      </c>
      <c r="D422" s="8"/>
      <c r="E422" s="19"/>
      <c r="F422" s="20"/>
      <c r="G422" s="17"/>
      <c r="H422" s="17"/>
      <c r="I422" s="18" t="str">
        <f t="shared" si="6"/>
        <v/>
      </c>
      <c r="J422" s="8"/>
    </row>
    <row r="423" spans="1:10" x14ac:dyDescent="0.3">
      <c r="A423" s="9"/>
      <c r="B423" s="8"/>
      <c r="C423" s="10" t="str">
        <f>IFERROR(VLOOKUP(B423,Activos!$A$5:$C$104,3,FALSE),"")</f>
        <v/>
      </c>
      <c r="D423" s="8"/>
      <c r="E423" s="19"/>
      <c r="F423" s="20"/>
      <c r="G423" s="17"/>
      <c r="H423" s="17"/>
      <c r="I423" s="18" t="str">
        <f t="shared" si="6"/>
        <v/>
      </c>
      <c r="J423" s="8"/>
    </row>
    <row r="424" spans="1:10" x14ac:dyDescent="0.3">
      <c r="A424" s="9"/>
      <c r="B424" s="8"/>
      <c r="C424" s="10" t="str">
        <f>IFERROR(VLOOKUP(B424,Activos!$A$5:$C$104,3,FALSE),"")</f>
        <v/>
      </c>
      <c r="D424" s="8"/>
      <c r="E424" s="19"/>
      <c r="F424" s="20"/>
      <c r="G424" s="17"/>
      <c r="H424" s="17"/>
      <c r="I424" s="18" t="str">
        <f t="shared" si="6"/>
        <v/>
      </c>
      <c r="J424" s="8"/>
    </row>
    <row r="425" spans="1:10" x14ac:dyDescent="0.3">
      <c r="A425" s="9"/>
      <c r="B425" s="8"/>
      <c r="C425" s="10" t="str">
        <f>IFERROR(VLOOKUP(B425,Activos!$A$5:$C$104,3,FALSE),"")</f>
        <v/>
      </c>
      <c r="D425" s="8"/>
      <c r="E425" s="19"/>
      <c r="F425" s="20"/>
      <c r="G425" s="17"/>
      <c r="H425" s="17"/>
      <c r="I425" s="18" t="str">
        <f t="shared" si="6"/>
        <v/>
      </c>
      <c r="J425" s="8"/>
    </row>
    <row r="426" spans="1:10" x14ac:dyDescent="0.3">
      <c r="A426" s="9"/>
      <c r="B426" s="8"/>
      <c r="C426" s="10" t="str">
        <f>IFERROR(VLOOKUP(B426,Activos!$A$5:$C$104,3,FALSE),"")</f>
        <v/>
      </c>
      <c r="D426" s="8"/>
      <c r="E426" s="19"/>
      <c r="F426" s="20"/>
      <c r="G426" s="17"/>
      <c r="H426" s="17"/>
      <c r="I426" s="18" t="str">
        <f t="shared" si="6"/>
        <v/>
      </c>
      <c r="J426" s="8"/>
    </row>
    <row r="427" spans="1:10" x14ac:dyDescent="0.3">
      <c r="A427" s="9"/>
      <c r="B427" s="8"/>
      <c r="C427" s="10" t="str">
        <f>IFERROR(VLOOKUP(B427,Activos!$A$5:$C$104,3,FALSE),"")</f>
        <v/>
      </c>
      <c r="D427" s="8"/>
      <c r="E427" s="19"/>
      <c r="F427" s="20"/>
      <c r="G427" s="17"/>
      <c r="H427" s="17"/>
      <c r="I427" s="18" t="str">
        <f t="shared" si="6"/>
        <v/>
      </c>
      <c r="J427" s="8"/>
    </row>
    <row r="428" spans="1:10" x14ac:dyDescent="0.3">
      <c r="A428" s="9"/>
      <c r="B428" s="8"/>
      <c r="C428" s="10" t="str">
        <f>IFERROR(VLOOKUP(B428,Activos!$A$5:$C$104,3,FALSE),"")</f>
        <v/>
      </c>
      <c r="D428" s="8"/>
      <c r="E428" s="19"/>
      <c r="F428" s="20"/>
      <c r="G428" s="17"/>
      <c r="H428" s="17"/>
      <c r="I428" s="18" t="str">
        <f t="shared" si="6"/>
        <v/>
      </c>
      <c r="J428" s="8"/>
    </row>
    <row r="429" spans="1:10" x14ac:dyDescent="0.3">
      <c r="A429" s="9"/>
      <c r="B429" s="8"/>
      <c r="C429" s="10" t="str">
        <f>IFERROR(VLOOKUP(B429,Activos!$A$5:$C$104,3,FALSE),"")</f>
        <v/>
      </c>
      <c r="D429" s="8"/>
      <c r="E429" s="19"/>
      <c r="F429" s="20"/>
      <c r="G429" s="17"/>
      <c r="H429" s="17"/>
      <c r="I429" s="18" t="str">
        <f t="shared" si="6"/>
        <v/>
      </c>
      <c r="J429" s="8"/>
    </row>
    <row r="430" spans="1:10" x14ac:dyDescent="0.3">
      <c r="A430" s="9"/>
      <c r="B430" s="8"/>
      <c r="C430" s="10" t="str">
        <f>IFERROR(VLOOKUP(B430,Activos!$A$5:$C$104,3,FALSE),"")</f>
        <v/>
      </c>
      <c r="D430" s="8"/>
      <c r="E430" s="19"/>
      <c r="F430" s="20"/>
      <c r="G430" s="17"/>
      <c r="H430" s="17"/>
      <c r="I430" s="18" t="str">
        <f t="shared" si="6"/>
        <v/>
      </c>
      <c r="J430" s="8"/>
    </row>
    <row r="431" spans="1:10" x14ac:dyDescent="0.3">
      <c r="A431" s="9"/>
      <c r="B431" s="8"/>
      <c r="C431" s="10" t="str">
        <f>IFERROR(VLOOKUP(B431,Activos!$A$5:$C$104,3,FALSE),"")</f>
        <v/>
      </c>
      <c r="D431" s="8"/>
      <c r="E431" s="19"/>
      <c r="F431" s="20"/>
      <c r="G431" s="17"/>
      <c r="H431" s="17"/>
      <c r="I431" s="18" t="str">
        <f t="shared" si="6"/>
        <v/>
      </c>
      <c r="J431" s="8"/>
    </row>
    <row r="432" spans="1:10" x14ac:dyDescent="0.3">
      <c r="A432" s="9"/>
      <c r="B432" s="8"/>
      <c r="C432" s="10" t="str">
        <f>IFERROR(VLOOKUP(B432,Activos!$A$5:$C$104,3,FALSE),"")</f>
        <v/>
      </c>
      <c r="D432" s="8"/>
      <c r="E432" s="19"/>
      <c r="F432" s="20"/>
      <c r="G432" s="17"/>
      <c r="H432" s="17"/>
      <c r="I432" s="18" t="str">
        <f t="shared" si="6"/>
        <v/>
      </c>
      <c r="J432" s="8"/>
    </row>
    <row r="433" spans="1:10" x14ac:dyDescent="0.3">
      <c r="A433" s="9"/>
      <c r="B433" s="8"/>
      <c r="C433" s="10" t="str">
        <f>IFERROR(VLOOKUP(B433,Activos!$A$5:$C$104,3,FALSE),"")</f>
        <v/>
      </c>
      <c r="D433" s="8"/>
      <c r="E433" s="19"/>
      <c r="F433" s="20"/>
      <c r="G433" s="17"/>
      <c r="H433" s="17"/>
      <c r="I433" s="18" t="str">
        <f t="shared" si="6"/>
        <v/>
      </c>
      <c r="J433" s="8"/>
    </row>
    <row r="434" spans="1:10" x14ac:dyDescent="0.3">
      <c r="A434" s="9"/>
      <c r="B434" s="8"/>
      <c r="C434" s="10" t="str">
        <f>IFERROR(VLOOKUP(B434,Activos!$A$5:$C$104,3,FALSE),"")</f>
        <v/>
      </c>
      <c r="D434" s="8"/>
      <c r="E434" s="19"/>
      <c r="F434" s="20"/>
      <c r="G434" s="17"/>
      <c r="H434" s="17"/>
      <c r="I434" s="18" t="str">
        <f t="shared" si="6"/>
        <v/>
      </c>
      <c r="J434" s="8"/>
    </row>
    <row r="435" spans="1:10" x14ac:dyDescent="0.3">
      <c r="A435" s="9"/>
      <c r="B435" s="8"/>
      <c r="C435" s="10" t="str">
        <f>IFERROR(VLOOKUP(B435,Activos!$A$5:$C$104,3,FALSE),"")</f>
        <v/>
      </c>
      <c r="D435" s="8"/>
      <c r="E435" s="19"/>
      <c r="F435" s="20"/>
      <c r="G435" s="17"/>
      <c r="H435" s="17"/>
      <c r="I435" s="18" t="str">
        <f t="shared" si="6"/>
        <v/>
      </c>
      <c r="J435" s="8"/>
    </row>
    <row r="436" spans="1:10" x14ac:dyDescent="0.3">
      <c r="A436" s="9"/>
      <c r="B436" s="8"/>
      <c r="C436" s="10" t="str">
        <f>IFERROR(VLOOKUP(B436,Activos!$A$5:$C$104,3,FALSE),"")</f>
        <v/>
      </c>
      <c r="D436" s="8"/>
      <c r="E436" s="19"/>
      <c r="F436" s="20"/>
      <c r="G436" s="17"/>
      <c r="H436" s="17"/>
      <c r="I436" s="18" t="str">
        <f t="shared" si="6"/>
        <v/>
      </c>
      <c r="J436" s="8"/>
    </row>
    <row r="437" spans="1:10" x14ac:dyDescent="0.3">
      <c r="A437" s="9"/>
      <c r="B437" s="8"/>
      <c r="C437" s="10" t="str">
        <f>IFERROR(VLOOKUP(B437,Activos!$A$5:$C$104,3,FALSE),"")</f>
        <v/>
      </c>
      <c r="D437" s="8"/>
      <c r="E437" s="19"/>
      <c r="F437" s="20"/>
      <c r="G437" s="17"/>
      <c r="H437" s="17"/>
      <c r="I437" s="18" t="str">
        <f t="shared" si="6"/>
        <v/>
      </c>
      <c r="J437" s="8"/>
    </row>
    <row r="438" spans="1:10" x14ac:dyDescent="0.3">
      <c r="A438" s="9"/>
      <c r="B438" s="8"/>
      <c r="C438" s="10" t="str">
        <f>IFERROR(VLOOKUP(B438,Activos!$A$5:$C$104,3,FALSE),"")</f>
        <v/>
      </c>
      <c r="D438" s="8"/>
      <c r="E438" s="19"/>
      <c r="F438" s="20"/>
      <c r="G438" s="17"/>
      <c r="H438" s="17"/>
      <c r="I438" s="18" t="str">
        <f t="shared" si="6"/>
        <v/>
      </c>
      <c r="J438" s="8"/>
    </row>
    <row r="439" spans="1:10" x14ac:dyDescent="0.3">
      <c r="A439" s="9"/>
      <c r="B439" s="8"/>
      <c r="C439" s="10" t="str">
        <f>IFERROR(VLOOKUP(B439,Activos!$A$5:$C$104,3,FALSE),"")</f>
        <v/>
      </c>
      <c r="D439" s="8"/>
      <c r="E439" s="19"/>
      <c r="F439" s="20"/>
      <c r="G439" s="17"/>
      <c r="H439" s="17"/>
      <c r="I439" s="18" t="str">
        <f t="shared" si="6"/>
        <v/>
      </c>
      <c r="J439" s="8"/>
    </row>
    <row r="440" spans="1:10" x14ac:dyDescent="0.3">
      <c r="A440" s="9"/>
      <c r="B440" s="8"/>
      <c r="C440" s="10" t="str">
        <f>IFERROR(VLOOKUP(B440,Activos!$A$5:$C$104,3,FALSE),"")</f>
        <v/>
      </c>
      <c r="D440" s="8"/>
      <c r="E440" s="19"/>
      <c r="F440" s="20"/>
      <c r="G440" s="17"/>
      <c r="H440" s="17"/>
      <c r="I440" s="18" t="str">
        <f t="shared" si="6"/>
        <v/>
      </c>
      <c r="J440" s="8"/>
    </row>
    <row r="441" spans="1:10" x14ac:dyDescent="0.3">
      <c r="A441" s="9"/>
      <c r="B441" s="8"/>
      <c r="C441" s="10" t="str">
        <f>IFERROR(VLOOKUP(B441,Activos!$A$5:$C$104,3,FALSE),"")</f>
        <v/>
      </c>
      <c r="D441" s="8"/>
      <c r="E441" s="19"/>
      <c r="F441" s="20"/>
      <c r="G441" s="17"/>
      <c r="H441" s="17"/>
      <c r="I441" s="18" t="str">
        <f t="shared" si="6"/>
        <v/>
      </c>
      <c r="J441" s="8"/>
    </row>
    <row r="442" spans="1:10" x14ac:dyDescent="0.3">
      <c r="A442" s="9"/>
      <c r="B442" s="8"/>
      <c r="C442" s="10" t="str">
        <f>IFERROR(VLOOKUP(B442,Activos!$A$5:$C$104,3,FALSE),"")</f>
        <v/>
      </c>
      <c r="D442" s="8"/>
      <c r="E442" s="19"/>
      <c r="F442" s="20"/>
      <c r="G442" s="17"/>
      <c r="H442" s="17"/>
      <c r="I442" s="18" t="str">
        <f t="shared" si="6"/>
        <v/>
      </c>
      <c r="J442" s="8"/>
    </row>
    <row r="443" spans="1:10" x14ac:dyDescent="0.3">
      <c r="A443" s="9"/>
      <c r="B443" s="8"/>
      <c r="C443" s="10" t="str">
        <f>IFERROR(VLOOKUP(B443,Activos!$A$5:$C$104,3,FALSE),"")</f>
        <v/>
      </c>
      <c r="D443" s="8"/>
      <c r="E443" s="19"/>
      <c r="F443" s="20"/>
      <c r="G443" s="17"/>
      <c r="H443" s="17"/>
      <c r="I443" s="18" t="str">
        <f t="shared" si="6"/>
        <v/>
      </c>
      <c r="J443" s="8"/>
    </row>
    <row r="444" spans="1:10" x14ac:dyDescent="0.3">
      <c r="A444" s="9"/>
      <c r="B444" s="8"/>
      <c r="C444" s="10" t="str">
        <f>IFERROR(VLOOKUP(B444,Activos!$A$5:$C$104,3,FALSE),"")</f>
        <v/>
      </c>
      <c r="D444" s="8"/>
      <c r="E444" s="19"/>
      <c r="F444" s="20"/>
      <c r="G444" s="17"/>
      <c r="H444" s="17"/>
      <c r="I444" s="18" t="str">
        <f t="shared" si="6"/>
        <v/>
      </c>
      <c r="J444" s="8"/>
    </row>
    <row r="445" spans="1:10" x14ac:dyDescent="0.3">
      <c r="A445" s="9"/>
      <c r="B445" s="8"/>
      <c r="C445" s="10" t="str">
        <f>IFERROR(VLOOKUP(B445,Activos!$A$5:$C$104,3,FALSE),"")</f>
        <v/>
      </c>
      <c r="D445" s="8"/>
      <c r="E445" s="19"/>
      <c r="F445" s="20"/>
      <c r="G445" s="17"/>
      <c r="H445" s="17"/>
      <c r="I445" s="18" t="str">
        <f t="shared" si="6"/>
        <v/>
      </c>
      <c r="J445" s="8"/>
    </row>
    <row r="446" spans="1:10" x14ac:dyDescent="0.3">
      <c r="A446" s="9"/>
      <c r="B446" s="8"/>
      <c r="C446" s="10" t="str">
        <f>IFERROR(VLOOKUP(B446,Activos!$A$5:$C$104,3,FALSE),"")</f>
        <v/>
      </c>
      <c r="D446" s="8"/>
      <c r="E446" s="19"/>
      <c r="F446" s="20"/>
      <c r="G446" s="17"/>
      <c r="H446" s="17"/>
      <c r="I446" s="18" t="str">
        <f t="shared" si="6"/>
        <v/>
      </c>
      <c r="J446" s="8"/>
    </row>
    <row r="447" spans="1:10" x14ac:dyDescent="0.3">
      <c r="A447" s="9"/>
      <c r="B447" s="8"/>
      <c r="C447" s="10" t="str">
        <f>IFERROR(VLOOKUP(B447,Activos!$A$5:$C$104,3,FALSE),"")</f>
        <v/>
      </c>
      <c r="D447" s="8"/>
      <c r="E447" s="19"/>
      <c r="F447" s="20"/>
      <c r="G447" s="17"/>
      <c r="H447" s="17"/>
      <c r="I447" s="18" t="str">
        <f t="shared" si="6"/>
        <v/>
      </c>
      <c r="J447" s="8"/>
    </row>
    <row r="448" spans="1:10" x14ac:dyDescent="0.3">
      <c r="A448" s="9"/>
      <c r="B448" s="8"/>
      <c r="C448" s="10" t="str">
        <f>IFERROR(VLOOKUP(B448,Activos!$A$5:$C$104,3,FALSE),"")</f>
        <v/>
      </c>
      <c r="D448" s="8"/>
      <c r="E448" s="19"/>
      <c r="F448" s="20"/>
      <c r="G448" s="17"/>
      <c r="H448" s="17"/>
      <c r="I448" s="18" t="str">
        <f t="shared" si="6"/>
        <v/>
      </c>
      <c r="J448" s="8"/>
    </row>
    <row r="449" spans="1:10" x14ac:dyDescent="0.3">
      <c r="A449" s="9"/>
      <c r="B449" s="8"/>
      <c r="C449" s="10" t="str">
        <f>IFERROR(VLOOKUP(B449,Activos!$A$5:$C$104,3,FALSE),"")</f>
        <v/>
      </c>
      <c r="D449" s="8"/>
      <c r="E449" s="19"/>
      <c r="F449" s="20"/>
      <c r="G449" s="17"/>
      <c r="H449" s="17"/>
      <c r="I449" s="18" t="str">
        <f t="shared" si="6"/>
        <v/>
      </c>
      <c r="J449" s="8"/>
    </row>
    <row r="450" spans="1:10" x14ac:dyDescent="0.3">
      <c r="A450" s="9"/>
      <c r="B450" s="8"/>
      <c r="C450" s="10" t="str">
        <f>IFERROR(VLOOKUP(B450,Activos!$A$5:$C$104,3,FALSE),"")</f>
        <v/>
      </c>
      <c r="D450" s="8"/>
      <c r="E450" s="19"/>
      <c r="F450" s="20"/>
      <c r="G450" s="17"/>
      <c r="H450" s="17"/>
      <c r="I450" s="18" t="str">
        <f t="shared" si="6"/>
        <v/>
      </c>
      <c r="J450" s="8"/>
    </row>
    <row r="451" spans="1:10" x14ac:dyDescent="0.3">
      <c r="A451" s="9"/>
      <c r="B451" s="8"/>
      <c r="C451" s="10" t="str">
        <f>IFERROR(VLOOKUP(B451,Activos!$A$5:$C$104,3,FALSE),"")</f>
        <v/>
      </c>
      <c r="D451" s="8"/>
      <c r="E451" s="19"/>
      <c r="F451" s="20"/>
      <c r="G451" s="17"/>
      <c r="H451" s="17"/>
      <c r="I451" s="18" t="str">
        <f t="shared" si="6"/>
        <v/>
      </c>
      <c r="J451" s="8"/>
    </row>
    <row r="452" spans="1:10" x14ac:dyDescent="0.3">
      <c r="A452" s="9"/>
      <c r="B452" s="8"/>
      <c r="C452" s="10" t="str">
        <f>IFERROR(VLOOKUP(B452,Activos!$A$5:$C$104,3,FALSE),"")</f>
        <v/>
      </c>
      <c r="D452" s="8"/>
      <c r="E452" s="19"/>
      <c r="F452" s="20"/>
      <c r="G452" s="17"/>
      <c r="H452" s="17"/>
      <c r="I452" s="18" t="str">
        <f t="shared" si="6"/>
        <v/>
      </c>
      <c r="J452" s="8"/>
    </row>
    <row r="453" spans="1:10" x14ac:dyDescent="0.3">
      <c r="A453" s="9"/>
      <c r="B453" s="8"/>
      <c r="C453" s="10" t="str">
        <f>IFERROR(VLOOKUP(B453,Activos!$A$5:$C$104,3,FALSE),"")</f>
        <v/>
      </c>
      <c r="D453" s="8"/>
      <c r="E453" s="19"/>
      <c r="F453" s="20"/>
      <c r="G453" s="17"/>
      <c r="H453" s="17"/>
      <c r="I453" s="18" t="str">
        <f t="shared" ref="I453:I516" si="7">IF(OR(D453="",G453=""),"",IF(D453="COMPRA",-G453-IF(H453="",0,H453),IF(D453="VENTA",G453-IF(H453="",0,H453),"")))</f>
        <v/>
      </c>
      <c r="J453" s="8"/>
    </row>
    <row r="454" spans="1:10" x14ac:dyDescent="0.3">
      <c r="A454" s="9"/>
      <c r="B454" s="8"/>
      <c r="C454" s="10" t="str">
        <f>IFERROR(VLOOKUP(B454,Activos!$A$5:$C$104,3,FALSE),"")</f>
        <v/>
      </c>
      <c r="D454" s="8"/>
      <c r="E454" s="19"/>
      <c r="F454" s="20"/>
      <c r="G454" s="17"/>
      <c r="H454" s="17"/>
      <c r="I454" s="18" t="str">
        <f t="shared" si="7"/>
        <v/>
      </c>
      <c r="J454" s="8"/>
    </row>
    <row r="455" spans="1:10" x14ac:dyDescent="0.3">
      <c r="A455" s="9"/>
      <c r="B455" s="8"/>
      <c r="C455" s="10" t="str">
        <f>IFERROR(VLOOKUP(B455,Activos!$A$5:$C$104,3,FALSE),"")</f>
        <v/>
      </c>
      <c r="D455" s="8"/>
      <c r="E455" s="19"/>
      <c r="F455" s="20"/>
      <c r="G455" s="17"/>
      <c r="H455" s="17"/>
      <c r="I455" s="18" t="str">
        <f t="shared" si="7"/>
        <v/>
      </c>
      <c r="J455" s="8"/>
    </row>
    <row r="456" spans="1:10" x14ac:dyDescent="0.3">
      <c r="A456" s="9"/>
      <c r="B456" s="8"/>
      <c r="C456" s="10" t="str">
        <f>IFERROR(VLOOKUP(B456,Activos!$A$5:$C$104,3,FALSE),"")</f>
        <v/>
      </c>
      <c r="D456" s="8"/>
      <c r="E456" s="19"/>
      <c r="F456" s="20"/>
      <c r="G456" s="17"/>
      <c r="H456" s="17"/>
      <c r="I456" s="18" t="str">
        <f t="shared" si="7"/>
        <v/>
      </c>
      <c r="J456" s="8"/>
    </row>
    <row r="457" spans="1:10" x14ac:dyDescent="0.3">
      <c r="A457" s="9"/>
      <c r="B457" s="8"/>
      <c r="C457" s="10" t="str">
        <f>IFERROR(VLOOKUP(B457,Activos!$A$5:$C$104,3,FALSE),"")</f>
        <v/>
      </c>
      <c r="D457" s="8"/>
      <c r="E457" s="19"/>
      <c r="F457" s="20"/>
      <c r="G457" s="17"/>
      <c r="H457" s="17"/>
      <c r="I457" s="18" t="str">
        <f t="shared" si="7"/>
        <v/>
      </c>
      <c r="J457" s="8"/>
    </row>
    <row r="458" spans="1:10" x14ac:dyDescent="0.3">
      <c r="A458" s="9"/>
      <c r="B458" s="8"/>
      <c r="C458" s="10" t="str">
        <f>IFERROR(VLOOKUP(B458,Activos!$A$5:$C$104,3,FALSE),"")</f>
        <v/>
      </c>
      <c r="D458" s="8"/>
      <c r="E458" s="19"/>
      <c r="F458" s="20"/>
      <c r="G458" s="17"/>
      <c r="H458" s="17"/>
      <c r="I458" s="18" t="str">
        <f t="shared" si="7"/>
        <v/>
      </c>
      <c r="J458" s="8"/>
    </row>
    <row r="459" spans="1:10" x14ac:dyDescent="0.3">
      <c r="A459" s="9"/>
      <c r="B459" s="8"/>
      <c r="C459" s="10" t="str">
        <f>IFERROR(VLOOKUP(B459,Activos!$A$5:$C$104,3,FALSE),"")</f>
        <v/>
      </c>
      <c r="D459" s="8"/>
      <c r="E459" s="19"/>
      <c r="F459" s="20"/>
      <c r="G459" s="17"/>
      <c r="H459" s="17"/>
      <c r="I459" s="18" t="str">
        <f t="shared" si="7"/>
        <v/>
      </c>
      <c r="J459" s="8"/>
    </row>
    <row r="460" spans="1:10" x14ac:dyDescent="0.3">
      <c r="A460" s="9"/>
      <c r="B460" s="8"/>
      <c r="C460" s="10" t="str">
        <f>IFERROR(VLOOKUP(B460,Activos!$A$5:$C$104,3,FALSE),"")</f>
        <v/>
      </c>
      <c r="D460" s="8"/>
      <c r="E460" s="19"/>
      <c r="F460" s="20"/>
      <c r="G460" s="17"/>
      <c r="H460" s="17"/>
      <c r="I460" s="18" t="str">
        <f t="shared" si="7"/>
        <v/>
      </c>
      <c r="J460" s="8"/>
    </row>
    <row r="461" spans="1:10" x14ac:dyDescent="0.3">
      <c r="A461" s="9"/>
      <c r="B461" s="8"/>
      <c r="C461" s="10" t="str">
        <f>IFERROR(VLOOKUP(B461,Activos!$A$5:$C$104,3,FALSE),"")</f>
        <v/>
      </c>
      <c r="D461" s="8"/>
      <c r="E461" s="19"/>
      <c r="F461" s="20"/>
      <c r="G461" s="17"/>
      <c r="H461" s="17"/>
      <c r="I461" s="18" t="str">
        <f t="shared" si="7"/>
        <v/>
      </c>
      <c r="J461" s="8"/>
    </row>
    <row r="462" spans="1:10" x14ac:dyDescent="0.3">
      <c r="A462" s="9"/>
      <c r="B462" s="8"/>
      <c r="C462" s="10" t="str">
        <f>IFERROR(VLOOKUP(B462,Activos!$A$5:$C$104,3,FALSE),"")</f>
        <v/>
      </c>
      <c r="D462" s="8"/>
      <c r="E462" s="19"/>
      <c r="F462" s="20"/>
      <c r="G462" s="17"/>
      <c r="H462" s="17"/>
      <c r="I462" s="18" t="str">
        <f t="shared" si="7"/>
        <v/>
      </c>
      <c r="J462" s="8"/>
    </row>
    <row r="463" spans="1:10" x14ac:dyDescent="0.3">
      <c r="A463" s="9"/>
      <c r="B463" s="8"/>
      <c r="C463" s="10" t="str">
        <f>IFERROR(VLOOKUP(B463,Activos!$A$5:$C$104,3,FALSE),"")</f>
        <v/>
      </c>
      <c r="D463" s="8"/>
      <c r="E463" s="19"/>
      <c r="F463" s="20"/>
      <c r="G463" s="17"/>
      <c r="H463" s="17"/>
      <c r="I463" s="18" t="str">
        <f t="shared" si="7"/>
        <v/>
      </c>
      <c r="J463" s="8"/>
    </row>
    <row r="464" spans="1:10" x14ac:dyDescent="0.3">
      <c r="A464" s="9"/>
      <c r="B464" s="8"/>
      <c r="C464" s="10" t="str">
        <f>IFERROR(VLOOKUP(B464,Activos!$A$5:$C$104,3,FALSE),"")</f>
        <v/>
      </c>
      <c r="D464" s="8"/>
      <c r="E464" s="19"/>
      <c r="F464" s="20"/>
      <c r="G464" s="17"/>
      <c r="H464" s="17"/>
      <c r="I464" s="18" t="str">
        <f t="shared" si="7"/>
        <v/>
      </c>
      <c r="J464" s="8"/>
    </row>
    <row r="465" spans="1:10" x14ac:dyDescent="0.3">
      <c r="A465" s="9"/>
      <c r="B465" s="8"/>
      <c r="C465" s="10" t="str">
        <f>IFERROR(VLOOKUP(B465,Activos!$A$5:$C$104,3,FALSE),"")</f>
        <v/>
      </c>
      <c r="D465" s="8"/>
      <c r="E465" s="19"/>
      <c r="F465" s="20"/>
      <c r="G465" s="17"/>
      <c r="H465" s="17"/>
      <c r="I465" s="18" t="str">
        <f t="shared" si="7"/>
        <v/>
      </c>
      <c r="J465" s="8"/>
    </row>
    <row r="466" spans="1:10" x14ac:dyDescent="0.3">
      <c r="A466" s="9"/>
      <c r="B466" s="8"/>
      <c r="C466" s="10" t="str">
        <f>IFERROR(VLOOKUP(B466,Activos!$A$5:$C$104,3,FALSE),"")</f>
        <v/>
      </c>
      <c r="D466" s="8"/>
      <c r="E466" s="19"/>
      <c r="F466" s="20"/>
      <c r="G466" s="17"/>
      <c r="H466" s="17"/>
      <c r="I466" s="18" t="str">
        <f t="shared" si="7"/>
        <v/>
      </c>
      <c r="J466" s="8"/>
    </row>
    <row r="467" spans="1:10" x14ac:dyDescent="0.3">
      <c r="A467" s="9"/>
      <c r="B467" s="8"/>
      <c r="C467" s="10" t="str">
        <f>IFERROR(VLOOKUP(B467,Activos!$A$5:$C$104,3,FALSE),"")</f>
        <v/>
      </c>
      <c r="D467" s="8"/>
      <c r="E467" s="19"/>
      <c r="F467" s="20"/>
      <c r="G467" s="17"/>
      <c r="H467" s="17"/>
      <c r="I467" s="18" t="str">
        <f t="shared" si="7"/>
        <v/>
      </c>
      <c r="J467" s="8"/>
    </row>
    <row r="468" spans="1:10" x14ac:dyDescent="0.3">
      <c r="A468" s="9"/>
      <c r="B468" s="8"/>
      <c r="C468" s="10" t="str">
        <f>IFERROR(VLOOKUP(B468,Activos!$A$5:$C$104,3,FALSE),"")</f>
        <v/>
      </c>
      <c r="D468" s="8"/>
      <c r="E468" s="19"/>
      <c r="F468" s="20"/>
      <c r="G468" s="17"/>
      <c r="H468" s="17"/>
      <c r="I468" s="18" t="str">
        <f t="shared" si="7"/>
        <v/>
      </c>
      <c r="J468" s="8"/>
    </row>
    <row r="469" spans="1:10" x14ac:dyDescent="0.3">
      <c r="A469" s="9"/>
      <c r="B469" s="8"/>
      <c r="C469" s="10" t="str">
        <f>IFERROR(VLOOKUP(B469,Activos!$A$5:$C$104,3,FALSE),"")</f>
        <v/>
      </c>
      <c r="D469" s="8"/>
      <c r="E469" s="19"/>
      <c r="F469" s="20"/>
      <c r="G469" s="17"/>
      <c r="H469" s="17"/>
      <c r="I469" s="18" t="str">
        <f t="shared" si="7"/>
        <v/>
      </c>
      <c r="J469" s="8"/>
    </row>
    <row r="470" spans="1:10" x14ac:dyDescent="0.3">
      <c r="A470" s="9"/>
      <c r="B470" s="8"/>
      <c r="C470" s="10" t="str">
        <f>IFERROR(VLOOKUP(B470,Activos!$A$5:$C$104,3,FALSE),"")</f>
        <v/>
      </c>
      <c r="D470" s="8"/>
      <c r="E470" s="19"/>
      <c r="F470" s="20"/>
      <c r="G470" s="17"/>
      <c r="H470" s="17"/>
      <c r="I470" s="18" t="str">
        <f t="shared" si="7"/>
        <v/>
      </c>
      <c r="J470" s="8"/>
    </row>
    <row r="471" spans="1:10" x14ac:dyDescent="0.3">
      <c r="A471" s="9"/>
      <c r="B471" s="8"/>
      <c r="C471" s="10" t="str">
        <f>IFERROR(VLOOKUP(B471,Activos!$A$5:$C$104,3,FALSE),"")</f>
        <v/>
      </c>
      <c r="D471" s="8"/>
      <c r="E471" s="19"/>
      <c r="F471" s="20"/>
      <c r="G471" s="17"/>
      <c r="H471" s="17"/>
      <c r="I471" s="18" t="str">
        <f t="shared" si="7"/>
        <v/>
      </c>
      <c r="J471" s="8"/>
    </row>
    <row r="472" spans="1:10" x14ac:dyDescent="0.3">
      <c r="A472" s="9"/>
      <c r="B472" s="8"/>
      <c r="C472" s="10" t="str">
        <f>IFERROR(VLOOKUP(B472,Activos!$A$5:$C$104,3,FALSE),"")</f>
        <v/>
      </c>
      <c r="D472" s="8"/>
      <c r="E472" s="19"/>
      <c r="F472" s="20"/>
      <c r="G472" s="17"/>
      <c r="H472" s="17"/>
      <c r="I472" s="18" t="str">
        <f t="shared" si="7"/>
        <v/>
      </c>
      <c r="J472" s="8"/>
    </row>
    <row r="473" spans="1:10" x14ac:dyDescent="0.3">
      <c r="A473" s="9"/>
      <c r="B473" s="8"/>
      <c r="C473" s="10" t="str">
        <f>IFERROR(VLOOKUP(B473,Activos!$A$5:$C$104,3,FALSE),"")</f>
        <v/>
      </c>
      <c r="D473" s="8"/>
      <c r="E473" s="19"/>
      <c r="F473" s="20"/>
      <c r="G473" s="17"/>
      <c r="H473" s="17"/>
      <c r="I473" s="18" t="str">
        <f t="shared" si="7"/>
        <v/>
      </c>
      <c r="J473" s="8"/>
    </row>
    <row r="474" spans="1:10" x14ac:dyDescent="0.3">
      <c r="A474" s="9"/>
      <c r="B474" s="8"/>
      <c r="C474" s="10" t="str">
        <f>IFERROR(VLOOKUP(B474,Activos!$A$5:$C$104,3,FALSE),"")</f>
        <v/>
      </c>
      <c r="D474" s="8"/>
      <c r="E474" s="19"/>
      <c r="F474" s="20"/>
      <c r="G474" s="17"/>
      <c r="H474" s="17"/>
      <c r="I474" s="18" t="str">
        <f t="shared" si="7"/>
        <v/>
      </c>
      <c r="J474" s="8"/>
    </row>
    <row r="475" spans="1:10" x14ac:dyDescent="0.3">
      <c r="A475" s="9"/>
      <c r="B475" s="8"/>
      <c r="C475" s="10" t="str">
        <f>IFERROR(VLOOKUP(B475,Activos!$A$5:$C$104,3,FALSE),"")</f>
        <v/>
      </c>
      <c r="D475" s="8"/>
      <c r="E475" s="19"/>
      <c r="F475" s="20"/>
      <c r="G475" s="17"/>
      <c r="H475" s="17"/>
      <c r="I475" s="18" t="str">
        <f t="shared" si="7"/>
        <v/>
      </c>
      <c r="J475" s="8"/>
    </row>
    <row r="476" spans="1:10" x14ac:dyDescent="0.3">
      <c r="A476" s="9"/>
      <c r="B476" s="8"/>
      <c r="C476" s="10" t="str">
        <f>IFERROR(VLOOKUP(B476,Activos!$A$5:$C$104,3,FALSE),"")</f>
        <v/>
      </c>
      <c r="D476" s="8"/>
      <c r="E476" s="19"/>
      <c r="F476" s="20"/>
      <c r="G476" s="17"/>
      <c r="H476" s="17"/>
      <c r="I476" s="18" t="str">
        <f t="shared" si="7"/>
        <v/>
      </c>
      <c r="J476" s="8"/>
    </row>
    <row r="477" spans="1:10" x14ac:dyDescent="0.3">
      <c r="A477" s="9"/>
      <c r="B477" s="8"/>
      <c r="C477" s="10" t="str">
        <f>IFERROR(VLOOKUP(B477,Activos!$A$5:$C$104,3,FALSE),"")</f>
        <v/>
      </c>
      <c r="D477" s="8"/>
      <c r="E477" s="19"/>
      <c r="F477" s="20"/>
      <c r="G477" s="17"/>
      <c r="H477" s="17"/>
      <c r="I477" s="18" t="str">
        <f t="shared" si="7"/>
        <v/>
      </c>
      <c r="J477" s="8"/>
    </row>
    <row r="478" spans="1:10" x14ac:dyDescent="0.3">
      <c r="A478" s="9"/>
      <c r="B478" s="8"/>
      <c r="C478" s="10" t="str">
        <f>IFERROR(VLOOKUP(B478,Activos!$A$5:$C$104,3,FALSE),"")</f>
        <v/>
      </c>
      <c r="D478" s="8"/>
      <c r="E478" s="19"/>
      <c r="F478" s="20"/>
      <c r="G478" s="17"/>
      <c r="H478" s="17"/>
      <c r="I478" s="18" t="str">
        <f t="shared" si="7"/>
        <v/>
      </c>
      <c r="J478" s="8"/>
    </row>
    <row r="479" spans="1:10" x14ac:dyDescent="0.3">
      <c r="A479" s="9"/>
      <c r="B479" s="8"/>
      <c r="C479" s="10" t="str">
        <f>IFERROR(VLOOKUP(B479,Activos!$A$5:$C$104,3,FALSE),"")</f>
        <v/>
      </c>
      <c r="D479" s="8"/>
      <c r="E479" s="19"/>
      <c r="F479" s="20"/>
      <c r="G479" s="17"/>
      <c r="H479" s="17"/>
      <c r="I479" s="18" t="str">
        <f t="shared" si="7"/>
        <v/>
      </c>
      <c r="J479" s="8"/>
    </row>
    <row r="480" spans="1:10" x14ac:dyDescent="0.3">
      <c r="A480" s="9"/>
      <c r="B480" s="8"/>
      <c r="C480" s="10" t="str">
        <f>IFERROR(VLOOKUP(B480,Activos!$A$5:$C$104,3,FALSE),"")</f>
        <v/>
      </c>
      <c r="D480" s="8"/>
      <c r="E480" s="19"/>
      <c r="F480" s="20"/>
      <c r="G480" s="17"/>
      <c r="H480" s="17"/>
      <c r="I480" s="18" t="str">
        <f t="shared" si="7"/>
        <v/>
      </c>
      <c r="J480" s="8"/>
    </row>
    <row r="481" spans="1:10" x14ac:dyDescent="0.3">
      <c r="A481" s="9"/>
      <c r="B481" s="8"/>
      <c r="C481" s="10" t="str">
        <f>IFERROR(VLOOKUP(B481,Activos!$A$5:$C$104,3,FALSE),"")</f>
        <v/>
      </c>
      <c r="D481" s="8"/>
      <c r="E481" s="19"/>
      <c r="F481" s="20"/>
      <c r="G481" s="17"/>
      <c r="H481" s="17"/>
      <c r="I481" s="18" t="str">
        <f t="shared" si="7"/>
        <v/>
      </c>
      <c r="J481" s="8"/>
    </row>
    <row r="482" spans="1:10" x14ac:dyDescent="0.3">
      <c r="A482" s="9"/>
      <c r="B482" s="8"/>
      <c r="C482" s="10" t="str">
        <f>IFERROR(VLOOKUP(B482,Activos!$A$5:$C$104,3,FALSE),"")</f>
        <v/>
      </c>
      <c r="D482" s="8"/>
      <c r="E482" s="19"/>
      <c r="F482" s="20"/>
      <c r="G482" s="17"/>
      <c r="H482" s="17"/>
      <c r="I482" s="18" t="str">
        <f t="shared" si="7"/>
        <v/>
      </c>
      <c r="J482" s="8"/>
    </row>
    <row r="483" spans="1:10" x14ac:dyDescent="0.3">
      <c r="A483" s="9"/>
      <c r="B483" s="8"/>
      <c r="C483" s="10" t="str">
        <f>IFERROR(VLOOKUP(B483,Activos!$A$5:$C$104,3,FALSE),"")</f>
        <v/>
      </c>
      <c r="D483" s="8"/>
      <c r="E483" s="19"/>
      <c r="F483" s="20"/>
      <c r="G483" s="17"/>
      <c r="H483" s="17"/>
      <c r="I483" s="18" t="str">
        <f t="shared" si="7"/>
        <v/>
      </c>
      <c r="J483" s="8"/>
    </row>
    <row r="484" spans="1:10" x14ac:dyDescent="0.3">
      <c r="A484" s="9"/>
      <c r="B484" s="8"/>
      <c r="C484" s="10" t="str">
        <f>IFERROR(VLOOKUP(B484,Activos!$A$5:$C$104,3,FALSE),"")</f>
        <v/>
      </c>
      <c r="D484" s="8"/>
      <c r="E484" s="19"/>
      <c r="F484" s="20"/>
      <c r="G484" s="17"/>
      <c r="H484" s="17"/>
      <c r="I484" s="18" t="str">
        <f t="shared" si="7"/>
        <v/>
      </c>
      <c r="J484" s="8"/>
    </row>
    <row r="485" spans="1:10" x14ac:dyDescent="0.3">
      <c r="A485" s="9"/>
      <c r="B485" s="8"/>
      <c r="C485" s="10" t="str">
        <f>IFERROR(VLOOKUP(B485,Activos!$A$5:$C$104,3,FALSE),"")</f>
        <v/>
      </c>
      <c r="D485" s="8"/>
      <c r="E485" s="19"/>
      <c r="F485" s="20"/>
      <c r="G485" s="17"/>
      <c r="H485" s="17"/>
      <c r="I485" s="18" t="str">
        <f t="shared" si="7"/>
        <v/>
      </c>
      <c r="J485" s="8"/>
    </row>
    <row r="486" spans="1:10" x14ac:dyDescent="0.3">
      <c r="A486" s="9"/>
      <c r="B486" s="8"/>
      <c r="C486" s="10" t="str">
        <f>IFERROR(VLOOKUP(B486,Activos!$A$5:$C$104,3,FALSE),"")</f>
        <v/>
      </c>
      <c r="D486" s="8"/>
      <c r="E486" s="19"/>
      <c r="F486" s="20"/>
      <c r="G486" s="17"/>
      <c r="H486" s="17"/>
      <c r="I486" s="18" t="str">
        <f t="shared" si="7"/>
        <v/>
      </c>
      <c r="J486" s="8"/>
    </row>
    <row r="487" spans="1:10" x14ac:dyDescent="0.3">
      <c r="A487" s="9"/>
      <c r="B487" s="8"/>
      <c r="C487" s="10" t="str">
        <f>IFERROR(VLOOKUP(B487,Activos!$A$5:$C$104,3,FALSE),"")</f>
        <v/>
      </c>
      <c r="D487" s="8"/>
      <c r="E487" s="19"/>
      <c r="F487" s="20"/>
      <c r="G487" s="17"/>
      <c r="H487" s="17"/>
      <c r="I487" s="18" t="str">
        <f t="shared" si="7"/>
        <v/>
      </c>
      <c r="J487" s="8"/>
    </row>
    <row r="488" spans="1:10" x14ac:dyDescent="0.3">
      <c r="A488" s="9"/>
      <c r="B488" s="8"/>
      <c r="C488" s="10" t="str">
        <f>IFERROR(VLOOKUP(B488,Activos!$A$5:$C$104,3,FALSE),"")</f>
        <v/>
      </c>
      <c r="D488" s="8"/>
      <c r="E488" s="19"/>
      <c r="F488" s="20"/>
      <c r="G488" s="17"/>
      <c r="H488" s="17"/>
      <c r="I488" s="18" t="str">
        <f t="shared" si="7"/>
        <v/>
      </c>
      <c r="J488" s="8"/>
    </row>
    <row r="489" spans="1:10" x14ac:dyDescent="0.3">
      <c r="A489" s="9"/>
      <c r="B489" s="8"/>
      <c r="C489" s="10" t="str">
        <f>IFERROR(VLOOKUP(B489,Activos!$A$5:$C$104,3,FALSE),"")</f>
        <v/>
      </c>
      <c r="D489" s="8"/>
      <c r="E489" s="19"/>
      <c r="F489" s="20"/>
      <c r="G489" s="17"/>
      <c r="H489" s="17"/>
      <c r="I489" s="18" t="str">
        <f t="shared" si="7"/>
        <v/>
      </c>
      <c r="J489" s="8"/>
    </row>
    <row r="490" spans="1:10" x14ac:dyDescent="0.3">
      <c r="A490" s="9"/>
      <c r="B490" s="8"/>
      <c r="C490" s="10" t="str">
        <f>IFERROR(VLOOKUP(B490,Activos!$A$5:$C$104,3,FALSE),"")</f>
        <v/>
      </c>
      <c r="D490" s="8"/>
      <c r="E490" s="19"/>
      <c r="F490" s="20"/>
      <c r="G490" s="17"/>
      <c r="H490" s="17"/>
      <c r="I490" s="18" t="str">
        <f t="shared" si="7"/>
        <v/>
      </c>
      <c r="J490" s="8"/>
    </row>
    <row r="491" spans="1:10" x14ac:dyDescent="0.3">
      <c r="A491" s="9"/>
      <c r="B491" s="8"/>
      <c r="C491" s="10" t="str">
        <f>IFERROR(VLOOKUP(B491,Activos!$A$5:$C$104,3,FALSE),"")</f>
        <v/>
      </c>
      <c r="D491" s="8"/>
      <c r="E491" s="19"/>
      <c r="F491" s="20"/>
      <c r="G491" s="17"/>
      <c r="H491" s="17"/>
      <c r="I491" s="18" t="str">
        <f t="shared" si="7"/>
        <v/>
      </c>
      <c r="J491" s="8"/>
    </row>
    <row r="492" spans="1:10" x14ac:dyDescent="0.3">
      <c r="A492" s="9"/>
      <c r="B492" s="8"/>
      <c r="C492" s="10" t="str">
        <f>IFERROR(VLOOKUP(B492,Activos!$A$5:$C$104,3,FALSE),"")</f>
        <v/>
      </c>
      <c r="D492" s="8"/>
      <c r="E492" s="19"/>
      <c r="F492" s="20"/>
      <c r="G492" s="17"/>
      <c r="H492" s="17"/>
      <c r="I492" s="18" t="str">
        <f t="shared" si="7"/>
        <v/>
      </c>
      <c r="J492" s="8"/>
    </row>
    <row r="493" spans="1:10" x14ac:dyDescent="0.3">
      <c r="A493" s="9"/>
      <c r="B493" s="8"/>
      <c r="C493" s="10" t="str">
        <f>IFERROR(VLOOKUP(B493,Activos!$A$5:$C$104,3,FALSE),"")</f>
        <v/>
      </c>
      <c r="D493" s="8"/>
      <c r="E493" s="19"/>
      <c r="F493" s="20"/>
      <c r="G493" s="17"/>
      <c r="H493" s="17"/>
      <c r="I493" s="18" t="str">
        <f t="shared" si="7"/>
        <v/>
      </c>
      <c r="J493" s="8"/>
    </row>
    <row r="494" spans="1:10" x14ac:dyDescent="0.3">
      <c r="A494" s="9"/>
      <c r="B494" s="8"/>
      <c r="C494" s="10" t="str">
        <f>IFERROR(VLOOKUP(B494,Activos!$A$5:$C$104,3,FALSE),"")</f>
        <v/>
      </c>
      <c r="D494" s="8"/>
      <c r="E494" s="19"/>
      <c r="F494" s="20"/>
      <c r="G494" s="17"/>
      <c r="H494" s="17"/>
      <c r="I494" s="18" t="str">
        <f t="shared" si="7"/>
        <v/>
      </c>
      <c r="J494" s="8"/>
    </row>
    <row r="495" spans="1:10" x14ac:dyDescent="0.3">
      <c r="A495" s="9"/>
      <c r="B495" s="8"/>
      <c r="C495" s="10" t="str">
        <f>IFERROR(VLOOKUP(B495,Activos!$A$5:$C$104,3,FALSE),"")</f>
        <v/>
      </c>
      <c r="D495" s="8"/>
      <c r="E495" s="19"/>
      <c r="F495" s="20"/>
      <c r="G495" s="17"/>
      <c r="H495" s="17"/>
      <c r="I495" s="18" t="str">
        <f t="shared" si="7"/>
        <v/>
      </c>
      <c r="J495" s="8"/>
    </row>
    <row r="496" spans="1:10" x14ac:dyDescent="0.3">
      <c r="A496" s="9"/>
      <c r="B496" s="8"/>
      <c r="C496" s="10" t="str">
        <f>IFERROR(VLOOKUP(B496,Activos!$A$5:$C$104,3,FALSE),"")</f>
        <v/>
      </c>
      <c r="D496" s="8"/>
      <c r="E496" s="19"/>
      <c r="F496" s="20"/>
      <c r="G496" s="17"/>
      <c r="H496" s="17"/>
      <c r="I496" s="18" t="str">
        <f t="shared" si="7"/>
        <v/>
      </c>
      <c r="J496" s="8"/>
    </row>
    <row r="497" spans="1:10" x14ac:dyDescent="0.3">
      <c r="A497" s="9"/>
      <c r="B497" s="8"/>
      <c r="C497" s="10" t="str">
        <f>IFERROR(VLOOKUP(B497,Activos!$A$5:$C$104,3,FALSE),"")</f>
        <v/>
      </c>
      <c r="D497" s="8"/>
      <c r="E497" s="19"/>
      <c r="F497" s="20"/>
      <c r="G497" s="17"/>
      <c r="H497" s="17"/>
      <c r="I497" s="18" t="str">
        <f t="shared" si="7"/>
        <v/>
      </c>
      <c r="J497" s="8"/>
    </row>
    <row r="498" spans="1:10" x14ac:dyDescent="0.3">
      <c r="A498" s="9"/>
      <c r="B498" s="8"/>
      <c r="C498" s="10" t="str">
        <f>IFERROR(VLOOKUP(B498,Activos!$A$5:$C$104,3,FALSE),"")</f>
        <v/>
      </c>
      <c r="D498" s="8"/>
      <c r="E498" s="19"/>
      <c r="F498" s="20"/>
      <c r="G498" s="17"/>
      <c r="H498" s="17"/>
      <c r="I498" s="18" t="str">
        <f t="shared" si="7"/>
        <v/>
      </c>
      <c r="J498" s="8"/>
    </row>
    <row r="499" spans="1:10" x14ac:dyDescent="0.3">
      <c r="A499" s="9"/>
      <c r="B499" s="8"/>
      <c r="C499" s="10" t="str">
        <f>IFERROR(VLOOKUP(B499,Activos!$A$5:$C$104,3,FALSE),"")</f>
        <v/>
      </c>
      <c r="D499" s="8"/>
      <c r="E499" s="19"/>
      <c r="F499" s="20"/>
      <c r="G499" s="17"/>
      <c r="H499" s="17"/>
      <c r="I499" s="18" t="str">
        <f t="shared" si="7"/>
        <v/>
      </c>
      <c r="J499" s="8"/>
    </row>
    <row r="500" spans="1:10" x14ac:dyDescent="0.3">
      <c r="A500" s="9"/>
      <c r="B500" s="8"/>
      <c r="C500" s="10" t="str">
        <f>IFERROR(VLOOKUP(B500,Activos!$A$5:$C$104,3,FALSE),"")</f>
        <v/>
      </c>
      <c r="D500" s="8"/>
      <c r="E500" s="19"/>
      <c r="F500" s="20"/>
      <c r="G500" s="17"/>
      <c r="H500" s="17"/>
      <c r="I500" s="18" t="str">
        <f t="shared" si="7"/>
        <v/>
      </c>
      <c r="J500" s="8"/>
    </row>
    <row r="501" spans="1:10" x14ac:dyDescent="0.3">
      <c r="A501" s="9"/>
      <c r="B501" s="8"/>
      <c r="C501" s="10" t="str">
        <f>IFERROR(VLOOKUP(B501,Activos!$A$5:$C$104,3,FALSE),"")</f>
        <v/>
      </c>
      <c r="D501" s="8"/>
      <c r="E501" s="19"/>
      <c r="F501" s="20"/>
      <c r="G501" s="17"/>
      <c r="H501" s="17"/>
      <c r="I501" s="18" t="str">
        <f t="shared" si="7"/>
        <v/>
      </c>
      <c r="J501" s="8"/>
    </row>
    <row r="502" spans="1:10" x14ac:dyDescent="0.3">
      <c r="A502" s="9"/>
      <c r="B502" s="8"/>
      <c r="C502" s="10" t="str">
        <f>IFERROR(VLOOKUP(B502,Activos!$A$5:$C$104,3,FALSE),"")</f>
        <v/>
      </c>
      <c r="D502" s="8"/>
      <c r="E502" s="19"/>
      <c r="F502" s="20"/>
      <c r="G502" s="17"/>
      <c r="H502" s="17"/>
      <c r="I502" s="18" t="str">
        <f t="shared" si="7"/>
        <v/>
      </c>
      <c r="J502" s="8"/>
    </row>
    <row r="503" spans="1:10" x14ac:dyDescent="0.3">
      <c r="A503" s="9"/>
      <c r="B503" s="8"/>
      <c r="C503" s="10" t="str">
        <f>IFERROR(VLOOKUP(B503,Activos!$A$5:$C$104,3,FALSE),"")</f>
        <v/>
      </c>
      <c r="D503" s="8"/>
      <c r="E503" s="19"/>
      <c r="F503" s="20"/>
      <c r="G503" s="17"/>
      <c r="H503" s="17"/>
      <c r="I503" s="18" t="str">
        <f t="shared" si="7"/>
        <v/>
      </c>
      <c r="J503" s="8"/>
    </row>
    <row r="504" spans="1:10" x14ac:dyDescent="0.3">
      <c r="A504" s="9"/>
      <c r="B504" s="8"/>
      <c r="C504" s="10" t="str">
        <f>IFERROR(VLOOKUP(B504,Activos!$A$5:$C$104,3,FALSE),"")</f>
        <v/>
      </c>
      <c r="D504" s="8"/>
      <c r="E504" s="19"/>
      <c r="F504" s="20"/>
      <c r="G504" s="17"/>
      <c r="H504" s="17"/>
      <c r="I504" s="18" t="str">
        <f t="shared" si="7"/>
        <v/>
      </c>
      <c r="J504" s="8"/>
    </row>
    <row r="505" spans="1:10" x14ac:dyDescent="0.3">
      <c r="A505" s="9"/>
      <c r="B505" s="8"/>
      <c r="C505" s="10" t="str">
        <f>IFERROR(VLOOKUP(B505,Activos!$A$5:$C$104,3,FALSE),"")</f>
        <v/>
      </c>
      <c r="D505" s="8"/>
      <c r="E505" s="19"/>
      <c r="F505" s="20"/>
      <c r="G505" s="17"/>
      <c r="H505" s="17"/>
      <c r="I505" s="18" t="str">
        <f t="shared" si="7"/>
        <v/>
      </c>
      <c r="J505" s="8"/>
    </row>
    <row r="506" spans="1:10" x14ac:dyDescent="0.3">
      <c r="A506" s="9"/>
      <c r="B506" s="8"/>
      <c r="C506" s="10" t="str">
        <f>IFERROR(VLOOKUP(B506,Activos!$A$5:$C$104,3,FALSE),"")</f>
        <v/>
      </c>
      <c r="D506" s="8"/>
      <c r="E506" s="19"/>
      <c r="F506" s="20"/>
      <c r="G506" s="17"/>
      <c r="H506" s="17"/>
      <c r="I506" s="18" t="str">
        <f t="shared" si="7"/>
        <v/>
      </c>
      <c r="J506" s="8"/>
    </row>
    <row r="507" spans="1:10" x14ac:dyDescent="0.3">
      <c r="A507" s="9"/>
      <c r="B507" s="8"/>
      <c r="C507" s="10" t="str">
        <f>IFERROR(VLOOKUP(B507,Activos!$A$5:$C$104,3,FALSE),"")</f>
        <v/>
      </c>
      <c r="D507" s="8"/>
      <c r="E507" s="19"/>
      <c r="F507" s="20"/>
      <c r="G507" s="17"/>
      <c r="H507" s="17"/>
      <c r="I507" s="18" t="str">
        <f t="shared" si="7"/>
        <v/>
      </c>
      <c r="J507" s="8"/>
    </row>
    <row r="508" spans="1:10" x14ac:dyDescent="0.3">
      <c r="A508" s="9"/>
      <c r="B508" s="8"/>
      <c r="C508" s="10" t="str">
        <f>IFERROR(VLOOKUP(B508,Activos!$A$5:$C$104,3,FALSE),"")</f>
        <v/>
      </c>
      <c r="D508" s="8"/>
      <c r="E508" s="19"/>
      <c r="F508" s="20"/>
      <c r="G508" s="17"/>
      <c r="H508" s="17"/>
      <c r="I508" s="18" t="str">
        <f t="shared" si="7"/>
        <v/>
      </c>
      <c r="J508" s="8"/>
    </row>
    <row r="509" spans="1:10" x14ac:dyDescent="0.3">
      <c r="A509" s="9"/>
      <c r="B509" s="8"/>
      <c r="C509" s="10" t="str">
        <f>IFERROR(VLOOKUP(B509,Activos!$A$5:$C$104,3,FALSE),"")</f>
        <v/>
      </c>
      <c r="D509" s="8"/>
      <c r="E509" s="19"/>
      <c r="F509" s="20"/>
      <c r="G509" s="17"/>
      <c r="H509" s="17"/>
      <c r="I509" s="18" t="str">
        <f t="shared" si="7"/>
        <v/>
      </c>
      <c r="J509" s="8"/>
    </row>
    <row r="510" spans="1:10" x14ac:dyDescent="0.3">
      <c r="A510" s="9"/>
      <c r="B510" s="8"/>
      <c r="C510" s="10" t="str">
        <f>IFERROR(VLOOKUP(B510,Activos!$A$5:$C$104,3,FALSE),"")</f>
        <v/>
      </c>
      <c r="D510" s="8"/>
      <c r="E510" s="19"/>
      <c r="F510" s="20"/>
      <c r="G510" s="17"/>
      <c r="H510" s="17"/>
      <c r="I510" s="18" t="str">
        <f t="shared" si="7"/>
        <v/>
      </c>
      <c r="J510" s="8"/>
    </row>
    <row r="511" spans="1:10" x14ac:dyDescent="0.3">
      <c r="A511" s="9"/>
      <c r="B511" s="8"/>
      <c r="C511" s="10" t="str">
        <f>IFERROR(VLOOKUP(B511,Activos!$A$5:$C$104,3,FALSE),"")</f>
        <v/>
      </c>
      <c r="D511" s="8"/>
      <c r="E511" s="19"/>
      <c r="F511" s="20"/>
      <c r="G511" s="17"/>
      <c r="H511" s="17"/>
      <c r="I511" s="18" t="str">
        <f t="shared" si="7"/>
        <v/>
      </c>
      <c r="J511" s="8"/>
    </row>
    <row r="512" spans="1:10" x14ac:dyDescent="0.3">
      <c r="A512" s="9"/>
      <c r="B512" s="8"/>
      <c r="C512" s="10" t="str">
        <f>IFERROR(VLOOKUP(B512,Activos!$A$5:$C$104,3,FALSE),"")</f>
        <v/>
      </c>
      <c r="D512" s="8"/>
      <c r="E512" s="19"/>
      <c r="F512" s="20"/>
      <c r="G512" s="17"/>
      <c r="H512" s="17"/>
      <c r="I512" s="18" t="str">
        <f t="shared" si="7"/>
        <v/>
      </c>
      <c r="J512" s="8"/>
    </row>
    <row r="513" spans="1:10" x14ac:dyDescent="0.3">
      <c r="A513" s="9"/>
      <c r="B513" s="8"/>
      <c r="C513" s="10" t="str">
        <f>IFERROR(VLOOKUP(B513,Activos!$A$5:$C$104,3,FALSE),"")</f>
        <v/>
      </c>
      <c r="D513" s="8"/>
      <c r="E513" s="19"/>
      <c r="F513" s="20"/>
      <c r="G513" s="17"/>
      <c r="H513" s="17"/>
      <c r="I513" s="18" t="str">
        <f t="shared" si="7"/>
        <v/>
      </c>
      <c r="J513" s="8"/>
    </row>
    <row r="514" spans="1:10" x14ac:dyDescent="0.3">
      <c r="A514" s="9"/>
      <c r="B514" s="8"/>
      <c r="C514" s="10" t="str">
        <f>IFERROR(VLOOKUP(B514,Activos!$A$5:$C$104,3,FALSE),"")</f>
        <v/>
      </c>
      <c r="D514" s="8"/>
      <c r="E514" s="19"/>
      <c r="F514" s="20"/>
      <c r="G514" s="17"/>
      <c r="H514" s="17"/>
      <c r="I514" s="18" t="str">
        <f t="shared" si="7"/>
        <v/>
      </c>
      <c r="J514" s="8"/>
    </row>
    <row r="515" spans="1:10" x14ac:dyDescent="0.3">
      <c r="A515" s="9"/>
      <c r="B515" s="8"/>
      <c r="C515" s="10" t="str">
        <f>IFERROR(VLOOKUP(B515,Activos!$A$5:$C$104,3,FALSE),"")</f>
        <v/>
      </c>
      <c r="D515" s="8"/>
      <c r="E515" s="19"/>
      <c r="F515" s="20"/>
      <c r="G515" s="17"/>
      <c r="H515" s="17"/>
      <c r="I515" s="18" t="str">
        <f t="shared" si="7"/>
        <v/>
      </c>
      <c r="J515" s="8"/>
    </row>
    <row r="516" spans="1:10" x14ac:dyDescent="0.3">
      <c r="A516" s="9"/>
      <c r="B516" s="8"/>
      <c r="C516" s="10" t="str">
        <f>IFERROR(VLOOKUP(B516,Activos!$A$5:$C$104,3,FALSE),"")</f>
        <v/>
      </c>
      <c r="D516" s="8"/>
      <c r="E516" s="19"/>
      <c r="F516" s="20"/>
      <c r="G516" s="17"/>
      <c r="H516" s="17"/>
      <c r="I516" s="18" t="str">
        <f t="shared" si="7"/>
        <v/>
      </c>
      <c r="J516" s="8"/>
    </row>
    <row r="517" spans="1:10" x14ac:dyDescent="0.3">
      <c r="A517" s="9"/>
      <c r="B517" s="8"/>
      <c r="C517" s="10" t="str">
        <f>IFERROR(VLOOKUP(B517,Activos!$A$5:$C$104,3,FALSE),"")</f>
        <v/>
      </c>
      <c r="D517" s="8"/>
      <c r="E517" s="19"/>
      <c r="F517" s="20"/>
      <c r="G517" s="17"/>
      <c r="H517" s="17"/>
      <c r="I517" s="18" t="str">
        <f t="shared" ref="I517:I580" si="8">IF(OR(D517="",G517=""),"",IF(D517="COMPRA",-G517-IF(H517="",0,H517),IF(D517="VENTA",G517-IF(H517="",0,H517),"")))</f>
        <v/>
      </c>
      <c r="J517" s="8"/>
    </row>
    <row r="518" spans="1:10" x14ac:dyDescent="0.3">
      <c r="A518" s="9"/>
      <c r="B518" s="8"/>
      <c r="C518" s="10" t="str">
        <f>IFERROR(VLOOKUP(B518,Activos!$A$5:$C$104,3,FALSE),"")</f>
        <v/>
      </c>
      <c r="D518" s="8"/>
      <c r="E518" s="19"/>
      <c r="F518" s="20"/>
      <c r="G518" s="17"/>
      <c r="H518" s="17"/>
      <c r="I518" s="18" t="str">
        <f t="shared" si="8"/>
        <v/>
      </c>
      <c r="J518" s="8"/>
    </row>
    <row r="519" spans="1:10" x14ac:dyDescent="0.3">
      <c r="A519" s="9"/>
      <c r="B519" s="8"/>
      <c r="C519" s="10" t="str">
        <f>IFERROR(VLOOKUP(B519,Activos!$A$5:$C$104,3,FALSE),"")</f>
        <v/>
      </c>
      <c r="D519" s="8"/>
      <c r="E519" s="19"/>
      <c r="F519" s="20"/>
      <c r="G519" s="17"/>
      <c r="H519" s="17"/>
      <c r="I519" s="18" t="str">
        <f t="shared" si="8"/>
        <v/>
      </c>
      <c r="J519" s="8"/>
    </row>
    <row r="520" spans="1:10" x14ac:dyDescent="0.3">
      <c r="A520" s="9"/>
      <c r="B520" s="8"/>
      <c r="C520" s="10" t="str">
        <f>IFERROR(VLOOKUP(B520,Activos!$A$5:$C$104,3,FALSE),"")</f>
        <v/>
      </c>
      <c r="D520" s="8"/>
      <c r="E520" s="19"/>
      <c r="F520" s="20"/>
      <c r="G520" s="17"/>
      <c r="H520" s="17"/>
      <c r="I520" s="18" t="str">
        <f t="shared" si="8"/>
        <v/>
      </c>
      <c r="J520" s="8"/>
    </row>
    <row r="521" spans="1:10" x14ac:dyDescent="0.3">
      <c r="A521" s="9"/>
      <c r="B521" s="8"/>
      <c r="C521" s="10" t="str">
        <f>IFERROR(VLOOKUP(B521,Activos!$A$5:$C$104,3,FALSE),"")</f>
        <v/>
      </c>
      <c r="D521" s="8"/>
      <c r="E521" s="19"/>
      <c r="F521" s="20"/>
      <c r="G521" s="17"/>
      <c r="H521" s="17"/>
      <c r="I521" s="18" t="str">
        <f t="shared" si="8"/>
        <v/>
      </c>
      <c r="J521" s="8"/>
    </row>
    <row r="522" spans="1:10" x14ac:dyDescent="0.3">
      <c r="A522" s="9"/>
      <c r="B522" s="8"/>
      <c r="C522" s="10" t="str">
        <f>IFERROR(VLOOKUP(B522,Activos!$A$5:$C$104,3,FALSE),"")</f>
        <v/>
      </c>
      <c r="D522" s="8"/>
      <c r="E522" s="19"/>
      <c r="F522" s="20"/>
      <c r="G522" s="17"/>
      <c r="H522" s="17"/>
      <c r="I522" s="18" t="str">
        <f t="shared" si="8"/>
        <v/>
      </c>
      <c r="J522" s="8"/>
    </row>
    <row r="523" spans="1:10" x14ac:dyDescent="0.3">
      <c r="A523" s="9"/>
      <c r="B523" s="8"/>
      <c r="C523" s="10" t="str">
        <f>IFERROR(VLOOKUP(B523,Activos!$A$5:$C$104,3,FALSE),"")</f>
        <v/>
      </c>
      <c r="D523" s="8"/>
      <c r="E523" s="19"/>
      <c r="F523" s="20"/>
      <c r="G523" s="17"/>
      <c r="H523" s="17"/>
      <c r="I523" s="18" t="str">
        <f t="shared" si="8"/>
        <v/>
      </c>
      <c r="J523" s="8"/>
    </row>
    <row r="524" spans="1:10" x14ac:dyDescent="0.3">
      <c r="A524" s="9"/>
      <c r="B524" s="8"/>
      <c r="C524" s="10" t="str">
        <f>IFERROR(VLOOKUP(B524,Activos!$A$5:$C$104,3,FALSE),"")</f>
        <v/>
      </c>
      <c r="D524" s="8"/>
      <c r="E524" s="19"/>
      <c r="F524" s="20"/>
      <c r="G524" s="17"/>
      <c r="H524" s="17"/>
      <c r="I524" s="18" t="str">
        <f t="shared" si="8"/>
        <v/>
      </c>
      <c r="J524" s="8"/>
    </row>
    <row r="525" spans="1:10" x14ac:dyDescent="0.3">
      <c r="A525" s="9"/>
      <c r="B525" s="8"/>
      <c r="C525" s="10" t="str">
        <f>IFERROR(VLOOKUP(B525,Activos!$A$5:$C$104,3,FALSE),"")</f>
        <v/>
      </c>
      <c r="D525" s="8"/>
      <c r="E525" s="19"/>
      <c r="F525" s="20"/>
      <c r="G525" s="17"/>
      <c r="H525" s="17"/>
      <c r="I525" s="18" t="str">
        <f t="shared" si="8"/>
        <v/>
      </c>
      <c r="J525" s="8"/>
    </row>
    <row r="526" spans="1:10" x14ac:dyDescent="0.3">
      <c r="A526" s="9"/>
      <c r="B526" s="8"/>
      <c r="C526" s="10" t="str">
        <f>IFERROR(VLOOKUP(B526,Activos!$A$5:$C$104,3,FALSE),"")</f>
        <v/>
      </c>
      <c r="D526" s="8"/>
      <c r="E526" s="19"/>
      <c r="F526" s="20"/>
      <c r="G526" s="17"/>
      <c r="H526" s="17"/>
      <c r="I526" s="18" t="str">
        <f t="shared" si="8"/>
        <v/>
      </c>
      <c r="J526" s="8"/>
    </row>
    <row r="527" spans="1:10" x14ac:dyDescent="0.3">
      <c r="A527" s="9"/>
      <c r="B527" s="8"/>
      <c r="C527" s="10" t="str">
        <f>IFERROR(VLOOKUP(B527,Activos!$A$5:$C$104,3,FALSE),"")</f>
        <v/>
      </c>
      <c r="D527" s="8"/>
      <c r="E527" s="19"/>
      <c r="F527" s="20"/>
      <c r="G527" s="17"/>
      <c r="H527" s="17"/>
      <c r="I527" s="18" t="str">
        <f t="shared" si="8"/>
        <v/>
      </c>
      <c r="J527" s="8"/>
    </row>
    <row r="528" spans="1:10" x14ac:dyDescent="0.3">
      <c r="A528" s="9"/>
      <c r="B528" s="8"/>
      <c r="C528" s="10" t="str">
        <f>IFERROR(VLOOKUP(B528,Activos!$A$5:$C$104,3,FALSE),"")</f>
        <v/>
      </c>
      <c r="D528" s="8"/>
      <c r="E528" s="19"/>
      <c r="F528" s="20"/>
      <c r="G528" s="17"/>
      <c r="H528" s="17"/>
      <c r="I528" s="18" t="str">
        <f t="shared" si="8"/>
        <v/>
      </c>
      <c r="J528" s="8"/>
    </row>
    <row r="529" spans="1:10" x14ac:dyDescent="0.3">
      <c r="A529" s="9"/>
      <c r="B529" s="8"/>
      <c r="C529" s="10" t="str">
        <f>IFERROR(VLOOKUP(B529,Activos!$A$5:$C$104,3,FALSE),"")</f>
        <v/>
      </c>
      <c r="D529" s="8"/>
      <c r="E529" s="19"/>
      <c r="F529" s="20"/>
      <c r="G529" s="17"/>
      <c r="H529" s="17"/>
      <c r="I529" s="18" t="str">
        <f t="shared" si="8"/>
        <v/>
      </c>
      <c r="J529" s="8"/>
    </row>
    <row r="530" spans="1:10" x14ac:dyDescent="0.3">
      <c r="A530" s="9"/>
      <c r="B530" s="8"/>
      <c r="C530" s="10" t="str">
        <f>IFERROR(VLOOKUP(B530,Activos!$A$5:$C$104,3,FALSE),"")</f>
        <v/>
      </c>
      <c r="D530" s="8"/>
      <c r="E530" s="19"/>
      <c r="F530" s="20"/>
      <c r="G530" s="17"/>
      <c r="H530" s="17"/>
      <c r="I530" s="18" t="str">
        <f t="shared" si="8"/>
        <v/>
      </c>
      <c r="J530" s="8"/>
    </row>
    <row r="531" spans="1:10" x14ac:dyDescent="0.3">
      <c r="A531" s="9"/>
      <c r="B531" s="8"/>
      <c r="C531" s="10" t="str">
        <f>IFERROR(VLOOKUP(B531,Activos!$A$5:$C$104,3,FALSE),"")</f>
        <v/>
      </c>
      <c r="D531" s="8"/>
      <c r="E531" s="19"/>
      <c r="F531" s="20"/>
      <c r="G531" s="17"/>
      <c r="H531" s="17"/>
      <c r="I531" s="18" t="str">
        <f t="shared" si="8"/>
        <v/>
      </c>
      <c r="J531" s="8"/>
    </row>
    <row r="532" spans="1:10" x14ac:dyDescent="0.3">
      <c r="A532" s="9"/>
      <c r="B532" s="8"/>
      <c r="C532" s="10" t="str">
        <f>IFERROR(VLOOKUP(B532,Activos!$A$5:$C$104,3,FALSE),"")</f>
        <v/>
      </c>
      <c r="D532" s="8"/>
      <c r="E532" s="19"/>
      <c r="F532" s="20"/>
      <c r="G532" s="17"/>
      <c r="H532" s="17"/>
      <c r="I532" s="18" t="str">
        <f t="shared" si="8"/>
        <v/>
      </c>
      <c r="J532" s="8"/>
    </row>
    <row r="533" spans="1:10" x14ac:dyDescent="0.3">
      <c r="A533" s="9"/>
      <c r="B533" s="8"/>
      <c r="C533" s="10" t="str">
        <f>IFERROR(VLOOKUP(B533,Activos!$A$5:$C$104,3,FALSE),"")</f>
        <v/>
      </c>
      <c r="D533" s="8"/>
      <c r="E533" s="19"/>
      <c r="F533" s="20"/>
      <c r="G533" s="17"/>
      <c r="H533" s="17"/>
      <c r="I533" s="18" t="str">
        <f t="shared" si="8"/>
        <v/>
      </c>
      <c r="J533" s="8"/>
    </row>
    <row r="534" spans="1:10" x14ac:dyDescent="0.3">
      <c r="A534" s="9"/>
      <c r="B534" s="8"/>
      <c r="C534" s="10" t="str">
        <f>IFERROR(VLOOKUP(B534,Activos!$A$5:$C$104,3,FALSE),"")</f>
        <v/>
      </c>
      <c r="D534" s="8"/>
      <c r="E534" s="19"/>
      <c r="F534" s="20"/>
      <c r="G534" s="17"/>
      <c r="H534" s="17"/>
      <c r="I534" s="18" t="str">
        <f t="shared" si="8"/>
        <v/>
      </c>
      <c r="J534" s="8"/>
    </row>
    <row r="535" spans="1:10" x14ac:dyDescent="0.3">
      <c r="A535" s="9"/>
      <c r="B535" s="8"/>
      <c r="C535" s="10" t="str">
        <f>IFERROR(VLOOKUP(B535,Activos!$A$5:$C$104,3,FALSE),"")</f>
        <v/>
      </c>
      <c r="D535" s="8"/>
      <c r="E535" s="19"/>
      <c r="F535" s="20"/>
      <c r="G535" s="17"/>
      <c r="H535" s="17"/>
      <c r="I535" s="18" t="str">
        <f t="shared" si="8"/>
        <v/>
      </c>
      <c r="J535" s="8"/>
    </row>
    <row r="536" spans="1:10" x14ac:dyDescent="0.3">
      <c r="A536" s="9"/>
      <c r="B536" s="8"/>
      <c r="C536" s="10" t="str">
        <f>IFERROR(VLOOKUP(B536,Activos!$A$5:$C$104,3,FALSE),"")</f>
        <v/>
      </c>
      <c r="D536" s="8"/>
      <c r="E536" s="19"/>
      <c r="F536" s="20"/>
      <c r="G536" s="17"/>
      <c r="H536" s="17"/>
      <c r="I536" s="18" t="str">
        <f t="shared" si="8"/>
        <v/>
      </c>
      <c r="J536" s="8"/>
    </row>
    <row r="537" spans="1:10" x14ac:dyDescent="0.3">
      <c r="A537" s="9"/>
      <c r="B537" s="8"/>
      <c r="C537" s="10" t="str">
        <f>IFERROR(VLOOKUP(B537,Activos!$A$5:$C$104,3,FALSE),"")</f>
        <v/>
      </c>
      <c r="D537" s="8"/>
      <c r="E537" s="19"/>
      <c r="F537" s="20"/>
      <c r="G537" s="17"/>
      <c r="H537" s="17"/>
      <c r="I537" s="18" t="str">
        <f t="shared" si="8"/>
        <v/>
      </c>
      <c r="J537" s="8"/>
    </row>
    <row r="538" spans="1:10" x14ac:dyDescent="0.3">
      <c r="A538" s="9"/>
      <c r="B538" s="8"/>
      <c r="C538" s="10" t="str">
        <f>IFERROR(VLOOKUP(B538,Activos!$A$5:$C$104,3,FALSE),"")</f>
        <v/>
      </c>
      <c r="D538" s="8"/>
      <c r="E538" s="19"/>
      <c r="F538" s="20"/>
      <c r="G538" s="17"/>
      <c r="H538" s="17"/>
      <c r="I538" s="18" t="str">
        <f t="shared" si="8"/>
        <v/>
      </c>
      <c r="J538" s="8"/>
    </row>
    <row r="539" spans="1:10" x14ac:dyDescent="0.3">
      <c r="A539" s="9"/>
      <c r="B539" s="8"/>
      <c r="C539" s="10" t="str">
        <f>IFERROR(VLOOKUP(B539,Activos!$A$5:$C$104,3,FALSE),"")</f>
        <v/>
      </c>
      <c r="D539" s="8"/>
      <c r="E539" s="19"/>
      <c r="F539" s="20"/>
      <c r="G539" s="17"/>
      <c r="H539" s="17"/>
      <c r="I539" s="18" t="str">
        <f t="shared" si="8"/>
        <v/>
      </c>
      <c r="J539" s="8"/>
    </row>
    <row r="540" spans="1:10" x14ac:dyDescent="0.3">
      <c r="A540" s="9"/>
      <c r="B540" s="8"/>
      <c r="C540" s="10" t="str">
        <f>IFERROR(VLOOKUP(B540,Activos!$A$5:$C$104,3,FALSE),"")</f>
        <v/>
      </c>
      <c r="D540" s="8"/>
      <c r="E540" s="19"/>
      <c r="F540" s="20"/>
      <c r="G540" s="17"/>
      <c r="H540" s="17"/>
      <c r="I540" s="18" t="str">
        <f t="shared" si="8"/>
        <v/>
      </c>
      <c r="J540" s="8"/>
    </row>
    <row r="541" spans="1:10" x14ac:dyDescent="0.3">
      <c r="A541" s="9"/>
      <c r="B541" s="8"/>
      <c r="C541" s="10" t="str">
        <f>IFERROR(VLOOKUP(B541,Activos!$A$5:$C$104,3,FALSE),"")</f>
        <v/>
      </c>
      <c r="D541" s="8"/>
      <c r="E541" s="19"/>
      <c r="F541" s="20"/>
      <c r="G541" s="17"/>
      <c r="H541" s="17"/>
      <c r="I541" s="18" t="str">
        <f t="shared" si="8"/>
        <v/>
      </c>
      <c r="J541" s="8"/>
    </row>
    <row r="542" spans="1:10" x14ac:dyDescent="0.3">
      <c r="A542" s="9"/>
      <c r="B542" s="8"/>
      <c r="C542" s="10" t="str">
        <f>IFERROR(VLOOKUP(B542,Activos!$A$5:$C$104,3,FALSE),"")</f>
        <v/>
      </c>
      <c r="D542" s="8"/>
      <c r="E542" s="19"/>
      <c r="F542" s="20"/>
      <c r="G542" s="17"/>
      <c r="H542" s="17"/>
      <c r="I542" s="18" t="str">
        <f t="shared" si="8"/>
        <v/>
      </c>
      <c r="J542" s="8"/>
    </row>
    <row r="543" spans="1:10" x14ac:dyDescent="0.3">
      <c r="A543" s="9"/>
      <c r="B543" s="8"/>
      <c r="C543" s="10" t="str">
        <f>IFERROR(VLOOKUP(B543,Activos!$A$5:$C$104,3,FALSE),"")</f>
        <v/>
      </c>
      <c r="D543" s="8"/>
      <c r="E543" s="19"/>
      <c r="F543" s="20"/>
      <c r="G543" s="17"/>
      <c r="H543" s="17"/>
      <c r="I543" s="18" t="str">
        <f t="shared" si="8"/>
        <v/>
      </c>
      <c r="J543" s="8"/>
    </row>
    <row r="544" spans="1:10" x14ac:dyDescent="0.3">
      <c r="A544" s="9"/>
      <c r="B544" s="8"/>
      <c r="C544" s="10" t="str">
        <f>IFERROR(VLOOKUP(B544,Activos!$A$5:$C$104,3,FALSE),"")</f>
        <v/>
      </c>
      <c r="D544" s="8"/>
      <c r="E544" s="19"/>
      <c r="F544" s="20"/>
      <c r="G544" s="17"/>
      <c r="H544" s="17"/>
      <c r="I544" s="18" t="str">
        <f t="shared" si="8"/>
        <v/>
      </c>
      <c r="J544" s="8"/>
    </row>
    <row r="545" spans="1:10" x14ac:dyDescent="0.3">
      <c r="A545" s="9"/>
      <c r="B545" s="8"/>
      <c r="C545" s="10" t="str">
        <f>IFERROR(VLOOKUP(B545,Activos!$A$5:$C$104,3,FALSE),"")</f>
        <v/>
      </c>
      <c r="D545" s="8"/>
      <c r="E545" s="19"/>
      <c r="F545" s="20"/>
      <c r="G545" s="17"/>
      <c r="H545" s="17"/>
      <c r="I545" s="18" t="str">
        <f t="shared" si="8"/>
        <v/>
      </c>
      <c r="J545" s="8"/>
    </row>
    <row r="546" spans="1:10" x14ac:dyDescent="0.3">
      <c r="A546" s="9"/>
      <c r="B546" s="8"/>
      <c r="C546" s="10" t="str">
        <f>IFERROR(VLOOKUP(B546,Activos!$A$5:$C$104,3,FALSE),"")</f>
        <v/>
      </c>
      <c r="D546" s="8"/>
      <c r="E546" s="19"/>
      <c r="F546" s="20"/>
      <c r="G546" s="17"/>
      <c r="H546" s="17"/>
      <c r="I546" s="18" t="str">
        <f t="shared" si="8"/>
        <v/>
      </c>
      <c r="J546" s="8"/>
    </row>
    <row r="547" spans="1:10" x14ac:dyDescent="0.3">
      <c r="A547" s="9"/>
      <c r="B547" s="8"/>
      <c r="C547" s="10" t="str">
        <f>IFERROR(VLOOKUP(B547,Activos!$A$5:$C$104,3,FALSE),"")</f>
        <v/>
      </c>
      <c r="D547" s="8"/>
      <c r="E547" s="19"/>
      <c r="F547" s="20"/>
      <c r="G547" s="17"/>
      <c r="H547" s="17"/>
      <c r="I547" s="18" t="str">
        <f t="shared" si="8"/>
        <v/>
      </c>
      <c r="J547" s="8"/>
    </row>
    <row r="548" spans="1:10" x14ac:dyDescent="0.3">
      <c r="A548" s="9"/>
      <c r="B548" s="8"/>
      <c r="C548" s="10" t="str">
        <f>IFERROR(VLOOKUP(B548,Activos!$A$5:$C$104,3,FALSE),"")</f>
        <v/>
      </c>
      <c r="D548" s="8"/>
      <c r="E548" s="19"/>
      <c r="F548" s="20"/>
      <c r="G548" s="17"/>
      <c r="H548" s="17"/>
      <c r="I548" s="18" t="str">
        <f t="shared" si="8"/>
        <v/>
      </c>
      <c r="J548" s="8"/>
    </row>
    <row r="549" spans="1:10" x14ac:dyDescent="0.3">
      <c r="A549" s="9"/>
      <c r="B549" s="8"/>
      <c r="C549" s="10" t="str">
        <f>IFERROR(VLOOKUP(B549,Activos!$A$5:$C$104,3,FALSE),"")</f>
        <v/>
      </c>
      <c r="D549" s="8"/>
      <c r="E549" s="19"/>
      <c r="F549" s="20"/>
      <c r="G549" s="17"/>
      <c r="H549" s="17"/>
      <c r="I549" s="18" t="str">
        <f t="shared" si="8"/>
        <v/>
      </c>
      <c r="J549" s="8"/>
    </row>
    <row r="550" spans="1:10" x14ac:dyDescent="0.3">
      <c r="A550" s="9"/>
      <c r="B550" s="8"/>
      <c r="C550" s="10" t="str">
        <f>IFERROR(VLOOKUP(B550,Activos!$A$5:$C$104,3,FALSE),"")</f>
        <v/>
      </c>
      <c r="D550" s="8"/>
      <c r="E550" s="19"/>
      <c r="F550" s="20"/>
      <c r="G550" s="17"/>
      <c r="H550" s="17"/>
      <c r="I550" s="18" t="str">
        <f t="shared" si="8"/>
        <v/>
      </c>
      <c r="J550" s="8"/>
    </row>
    <row r="551" spans="1:10" x14ac:dyDescent="0.3">
      <c r="A551" s="9"/>
      <c r="B551" s="8"/>
      <c r="C551" s="10" t="str">
        <f>IFERROR(VLOOKUP(B551,Activos!$A$5:$C$104,3,FALSE),"")</f>
        <v/>
      </c>
      <c r="D551" s="8"/>
      <c r="E551" s="19"/>
      <c r="F551" s="20"/>
      <c r="G551" s="17"/>
      <c r="H551" s="17"/>
      <c r="I551" s="18" t="str">
        <f t="shared" si="8"/>
        <v/>
      </c>
      <c r="J551" s="8"/>
    </row>
    <row r="552" spans="1:10" x14ac:dyDescent="0.3">
      <c r="A552" s="9"/>
      <c r="B552" s="8"/>
      <c r="C552" s="10" t="str">
        <f>IFERROR(VLOOKUP(B552,Activos!$A$5:$C$104,3,FALSE),"")</f>
        <v/>
      </c>
      <c r="D552" s="8"/>
      <c r="E552" s="19"/>
      <c r="F552" s="20"/>
      <c r="G552" s="17"/>
      <c r="H552" s="17"/>
      <c r="I552" s="18" t="str">
        <f t="shared" si="8"/>
        <v/>
      </c>
      <c r="J552" s="8"/>
    </row>
    <row r="553" spans="1:10" x14ac:dyDescent="0.3">
      <c r="A553" s="9"/>
      <c r="B553" s="8"/>
      <c r="C553" s="10" t="str">
        <f>IFERROR(VLOOKUP(B553,Activos!$A$5:$C$104,3,FALSE),"")</f>
        <v/>
      </c>
      <c r="D553" s="8"/>
      <c r="E553" s="19"/>
      <c r="F553" s="20"/>
      <c r="G553" s="17"/>
      <c r="H553" s="17"/>
      <c r="I553" s="18" t="str">
        <f t="shared" si="8"/>
        <v/>
      </c>
      <c r="J553" s="8"/>
    </row>
    <row r="554" spans="1:10" x14ac:dyDescent="0.3">
      <c r="A554" s="9"/>
      <c r="B554" s="8"/>
      <c r="C554" s="10" t="str">
        <f>IFERROR(VLOOKUP(B554,Activos!$A$5:$C$104,3,FALSE),"")</f>
        <v/>
      </c>
      <c r="D554" s="8"/>
      <c r="E554" s="19"/>
      <c r="F554" s="20"/>
      <c r="G554" s="17"/>
      <c r="H554" s="17"/>
      <c r="I554" s="18" t="str">
        <f t="shared" si="8"/>
        <v/>
      </c>
      <c r="J554" s="8"/>
    </row>
    <row r="555" spans="1:10" x14ac:dyDescent="0.3">
      <c r="A555" s="9"/>
      <c r="B555" s="8"/>
      <c r="C555" s="10" t="str">
        <f>IFERROR(VLOOKUP(B555,Activos!$A$5:$C$104,3,FALSE),"")</f>
        <v/>
      </c>
      <c r="D555" s="8"/>
      <c r="E555" s="19"/>
      <c r="F555" s="20"/>
      <c r="G555" s="17"/>
      <c r="H555" s="17"/>
      <c r="I555" s="18" t="str">
        <f t="shared" si="8"/>
        <v/>
      </c>
      <c r="J555" s="8"/>
    </row>
    <row r="556" spans="1:10" x14ac:dyDescent="0.3">
      <c r="A556" s="9"/>
      <c r="B556" s="8"/>
      <c r="C556" s="10" t="str">
        <f>IFERROR(VLOOKUP(B556,Activos!$A$5:$C$104,3,FALSE),"")</f>
        <v/>
      </c>
      <c r="D556" s="8"/>
      <c r="E556" s="19"/>
      <c r="F556" s="20"/>
      <c r="G556" s="17"/>
      <c r="H556" s="17"/>
      <c r="I556" s="18" t="str">
        <f t="shared" si="8"/>
        <v/>
      </c>
      <c r="J556" s="8"/>
    </row>
    <row r="557" spans="1:10" x14ac:dyDescent="0.3">
      <c r="A557" s="9"/>
      <c r="B557" s="8"/>
      <c r="C557" s="10" t="str">
        <f>IFERROR(VLOOKUP(B557,Activos!$A$5:$C$104,3,FALSE),"")</f>
        <v/>
      </c>
      <c r="D557" s="8"/>
      <c r="E557" s="19"/>
      <c r="F557" s="20"/>
      <c r="G557" s="17"/>
      <c r="H557" s="17"/>
      <c r="I557" s="18" t="str">
        <f t="shared" si="8"/>
        <v/>
      </c>
      <c r="J557" s="8"/>
    </row>
    <row r="558" spans="1:10" x14ac:dyDescent="0.3">
      <c r="A558" s="9"/>
      <c r="B558" s="8"/>
      <c r="C558" s="10" t="str">
        <f>IFERROR(VLOOKUP(B558,Activos!$A$5:$C$104,3,FALSE),"")</f>
        <v/>
      </c>
      <c r="D558" s="8"/>
      <c r="E558" s="19"/>
      <c r="F558" s="20"/>
      <c r="G558" s="17"/>
      <c r="H558" s="17"/>
      <c r="I558" s="18" t="str">
        <f t="shared" si="8"/>
        <v/>
      </c>
      <c r="J558" s="8"/>
    </row>
    <row r="559" spans="1:10" x14ac:dyDescent="0.3">
      <c r="A559" s="9"/>
      <c r="B559" s="8"/>
      <c r="C559" s="10" t="str">
        <f>IFERROR(VLOOKUP(B559,Activos!$A$5:$C$104,3,FALSE),"")</f>
        <v/>
      </c>
      <c r="D559" s="8"/>
      <c r="E559" s="19"/>
      <c r="F559" s="20"/>
      <c r="G559" s="17"/>
      <c r="H559" s="17"/>
      <c r="I559" s="18" t="str">
        <f t="shared" si="8"/>
        <v/>
      </c>
      <c r="J559" s="8"/>
    </row>
    <row r="560" spans="1:10" x14ac:dyDescent="0.3">
      <c r="A560" s="9"/>
      <c r="B560" s="8"/>
      <c r="C560" s="10" t="str">
        <f>IFERROR(VLOOKUP(B560,Activos!$A$5:$C$104,3,FALSE),"")</f>
        <v/>
      </c>
      <c r="D560" s="8"/>
      <c r="E560" s="19"/>
      <c r="F560" s="20"/>
      <c r="G560" s="17"/>
      <c r="H560" s="17"/>
      <c r="I560" s="18" t="str">
        <f t="shared" si="8"/>
        <v/>
      </c>
      <c r="J560" s="8"/>
    </row>
    <row r="561" spans="1:10" x14ac:dyDescent="0.3">
      <c r="A561" s="9"/>
      <c r="B561" s="8"/>
      <c r="C561" s="10" t="str">
        <f>IFERROR(VLOOKUP(B561,Activos!$A$5:$C$104,3,FALSE),"")</f>
        <v/>
      </c>
      <c r="D561" s="8"/>
      <c r="E561" s="19"/>
      <c r="F561" s="20"/>
      <c r="G561" s="17"/>
      <c r="H561" s="17"/>
      <c r="I561" s="18" t="str">
        <f t="shared" si="8"/>
        <v/>
      </c>
      <c r="J561" s="8"/>
    </row>
    <row r="562" spans="1:10" x14ac:dyDescent="0.3">
      <c r="A562" s="9"/>
      <c r="B562" s="8"/>
      <c r="C562" s="10" t="str">
        <f>IFERROR(VLOOKUP(B562,Activos!$A$5:$C$104,3,FALSE),"")</f>
        <v/>
      </c>
      <c r="D562" s="8"/>
      <c r="E562" s="19"/>
      <c r="F562" s="20"/>
      <c r="G562" s="17"/>
      <c r="H562" s="17"/>
      <c r="I562" s="18" t="str">
        <f t="shared" si="8"/>
        <v/>
      </c>
      <c r="J562" s="8"/>
    </row>
    <row r="563" spans="1:10" x14ac:dyDescent="0.3">
      <c r="A563" s="9"/>
      <c r="B563" s="8"/>
      <c r="C563" s="10" t="str">
        <f>IFERROR(VLOOKUP(B563,Activos!$A$5:$C$104,3,FALSE),"")</f>
        <v/>
      </c>
      <c r="D563" s="8"/>
      <c r="E563" s="19"/>
      <c r="F563" s="20"/>
      <c r="G563" s="17"/>
      <c r="H563" s="17"/>
      <c r="I563" s="18" t="str">
        <f t="shared" si="8"/>
        <v/>
      </c>
      <c r="J563" s="8"/>
    </row>
    <row r="564" spans="1:10" x14ac:dyDescent="0.3">
      <c r="A564" s="9"/>
      <c r="B564" s="8"/>
      <c r="C564" s="10" t="str">
        <f>IFERROR(VLOOKUP(B564,Activos!$A$5:$C$104,3,FALSE),"")</f>
        <v/>
      </c>
      <c r="D564" s="8"/>
      <c r="E564" s="19"/>
      <c r="F564" s="20"/>
      <c r="G564" s="17"/>
      <c r="H564" s="17"/>
      <c r="I564" s="18" t="str">
        <f t="shared" si="8"/>
        <v/>
      </c>
      <c r="J564" s="8"/>
    </row>
    <row r="565" spans="1:10" x14ac:dyDescent="0.3">
      <c r="A565" s="9"/>
      <c r="B565" s="8"/>
      <c r="C565" s="10" t="str">
        <f>IFERROR(VLOOKUP(B565,Activos!$A$5:$C$104,3,FALSE),"")</f>
        <v/>
      </c>
      <c r="D565" s="8"/>
      <c r="E565" s="19"/>
      <c r="F565" s="20"/>
      <c r="G565" s="17"/>
      <c r="H565" s="17"/>
      <c r="I565" s="18" t="str">
        <f t="shared" si="8"/>
        <v/>
      </c>
      <c r="J565" s="8"/>
    </row>
    <row r="566" spans="1:10" x14ac:dyDescent="0.3">
      <c r="A566" s="9"/>
      <c r="B566" s="8"/>
      <c r="C566" s="10" t="str">
        <f>IFERROR(VLOOKUP(B566,Activos!$A$5:$C$104,3,FALSE),"")</f>
        <v/>
      </c>
      <c r="D566" s="8"/>
      <c r="E566" s="19"/>
      <c r="F566" s="20"/>
      <c r="G566" s="17"/>
      <c r="H566" s="17"/>
      <c r="I566" s="18" t="str">
        <f t="shared" si="8"/>
        <v/>
      </c>
      <c r="J566" s="8"/>
    </row>
    <row r="567" spans="1:10" x14ac:dyDescent="0.3">
      <c r="A567" s="9"/>
      <c r="B567" s="8"/>
      <c r="C567" s="10" t="str">
        <f>IFERROR(VLOOKUP(B567,Activos!$A$5:$C$104,3,FALSE),"")</f>
        <v/>
      </c>
      <c r="D567" s="8"/>
      <c r="E567" s="19"/>
      <c r="F567" s="20"/>
      <c r="G567" s="17"/>
      <c r="H567" s="17"/>
      <c r="I567" s="18" t="str">
        <f t="shared" si="8"/>
        <v/>
      </c>
      <c r="J567" s="8"/>
    </row>
    <row r="568" spans="1:10" x14ac:dyDescent="0.3">
      <c r="A568" s="9"/>
      <c r="B568" s="8"/>
      <c r="C568" s="10" t="str">
        <f>IFERROR(VLOOKUP(B568,Activos!$A$5:$C$104,3,FALSE),"")</f>
        <v/>
      </c>
      <c r="D568" s="8"/>
      <c r="E568" s="19"/>
      <c r="F568" s="20"/>
      <c r="G568" s="17"/>
      <c r="H568" s="17"/>
      <c r="I568" s="18" t="str">
        <f t="shared" si="8"/>
        <v/>
      </c>
      <c r="J568" s="8"/>
    </row>
    <row r="569" spans="1:10" x14ac:dyDescent="0.3">
      <c r="A569" s="9"/>
      <c r="B569" s="8"/>
      <c r="C569" s="10" t="str">
        <f>IFERROR(VLOOKUP(B569,Activos!$A$5:$C$104,3,FALSE),"")</f>
        <v/>
      </c>
      <c r="D569" s="8"/>
      <c r="E569" s="19"/>
      <c r="F569" s="20"/>
      <c r="G569" s="17"/>
      <c r="H569" s="17"/>
      <c r="I569" s="18" t="str">
        <f t="shared" si="8"/>
        <v/>
      </c>
      <c r="J569" s="8"/>
    </row>
    <row r="570" spans="1:10" x14ac:dyDescent="0.3">
      <c r="A570" s="9"/>
      <c r="B570" s="8"/>
      <c r="C570" s="10" t="str">
        <f>IFERROR(VLOOKUP(B570,Activos!$A$5:$C$104,3,FALSE),"")</f>
        <v/>
      </c>
      <c r="D570" s="8"/>
      <c r="E570" s="19"/>
      <c r="F570" s="20"/>
      <c r="G570" s="17"/>
      <c r="H570" s="17"/>
      <c r="I570" s="18" t="str">
        <f t="shared" si="8"/>
        <v/>
      </c>
      <c r="J570" s="8"/>
    </row>
    <row r="571" spans="1:10" x14ac:dyDescent="0.3">
      <c r="A571" s="9"/>
      <c r="B571" s="8"/>
      <c r="C571" s="10" t="str">
        <f>IFERROR(VLOOKUP(B571,Activos!$A$5:$C$104,3,FALSE),"")</f>
        <v/>
      </c>
      <c r="D571" s="8"/>
      <c r="E571" s="19"/>
      <c r="F571" s="20"/>
      <c r="G571" s="17"/>
      <c r="H571" s="17"/>
      <c r="I571" s="18" t="str">
        <f t="shared" si="8"/>
        <v/>
      </c>
      <c r="J571" s="8"/>
    </row>
    <row r="572" spans="1:10" x14ac:dyDescent="0.3">
      <c r="A572" s="9"/>
      <c r="B572" s="8"/>
      <c r="C572" s="10" t="str">
        <f>IFERROR(VLOOKUP(B572,Activos!$A$5:$C$104,3,FALSE),"")</f>
        <v/>
      </c>
      <c r="D572" s="8"/>
      <c r="E572" s="19"/>
      <c r="F572" s="20"/>
      <c r="G572" s="17"/>
      <c r="H572" s="17"/>
      <c r="I572" s="18" t="str">
        <f t="shared" si="8"/>
        <v/>
      </c>
      <c r="J572" s="8"/>
    </row>
    <row r="573" spans="1:10" x14ac:dyDescent="0.3">
      <c r="A573" s="9"/>
      <c r="B573" s="8"/>
      <c r="C573" s="10" t="str">
        <f>IFERROR(VLOOKUP(B573,Activos!$A$5:$C$104,3,FALSE),"")</f>
        <v/>
      </c>
      <c r="D573" s="8"/>
      <c r="E573" s="19"/>
      <c r="F573" s="20"/>
      <c r="G573" s="17"/>
      <c r="H573" s="17"/>
      <c r="I573" s="18" t="str">
        <f t="shared" si="8"/>
        <v/>
      </c>
      <c r="J573" s="8"/>
    </row>
    <row r="574" spans="1:10" x14ac:dyDescent="0.3">
      <c r="A574" s="9"/>
      <c r="B574" s="8"/>
      <c r="C574" s="10" t="str">
        <f>IFERROR(VLOOKUP(B574,Activos!$A$5:$C$104,3,FALSE),"")</f>
        <v/>
      </c>
      <c r="D574" s="8"/>
      <c r="E574" s="19"/>
      <c r="F574" s="20"/>
      <c r="G574" s="17"/>
      <c r="H574" s="17"/>
      <c r="I574" s="18" t="str">
        <f t="shared" si="8"/>
        <v/>
      </c>
      <c r="J574" s="8"/>
    </row>
    <row r="575" spans="1:10" x14ac:dyDescent="0.3">
      <c r="A575" s="9"/>
      <c r="B575" s="8"/>
      <c r="C575" s="10" t="str">
        <f>IFERROR(VLOOKUP(B575,Activos!$A$5:$C$104,3,FALSE),"")</f>
        <v/>
      </c>
      <c r="D575" s="8"/>
      <c r="E575" s="19"/>
      <c r="F575" s="20"/>
      <c r="G575" s="17"/>
      <c r="H575" s="17"/>
      <c r="I575" s="18" t="str">
        <f t="shared" si="8"/>
        <v/>
      </c>
      <c r="J575" s="8"/>
    </row>
    <row r="576" spans="1:10" x14ac:dyDescent="0.3">
      <c r="A576" s="9"/>
      <c r="B576" s="8"/>
      <c r="C576" s="10" t="str">
        <f>IFERROR(VLOOKUP(B576,Activos!$A$5:$C$104,3,FALSE),"")</f>
        <v/>
      </c>
      <c r="D576" s="8"/>
      <c r="E576" s="19"/>
      <c r="F576" s="20"/>
      <c r="G576" s="17"/>
      <c r="H576" s="17"/>
      <c r="I576" s="18" t="str">
        <f t="shared" si="8"/>
        <v/>
      </c>
      <c r="J576" s="8"/>
    </row>
    <row r="577" spans="1:10" x14ac:dyDescent="0.3">
      <c r="A577" s="9"/>
      <c r="B577" s="8"/>
      <c r="C577" s="10" t="str">
        <f>IFERROR(VLOOKUP(B577,Activos!$A$5:$C$104,3,FALSE),"")</f>
        <v/>
      </c>
      <c r="D577" s="8"/>
      <c r="E577" s="19"/>
      <c r="F577" s="20"/>
      <c r="G577" s="17"/>
      <c r="H577" s="17"/>
      <c r="I577" s="18" t="str">
        <f t="shared" si="8"/>
        <v/>
      </c>
      <c r="J577" s="8"/>
    </row>
    <row r="578" spans="1:10" x14ac:dyDescent="0.3">
      <c r="A578" s="9"/>
      <c r="B578" s="8"/>
      <c r="C578" s="10" t="str">
        <f>IFERROR(VLOOKUP(B578,Activos!$A$5:$C$104,3,FALSE),"")</f>
        <v/>
      </c>
      <c r="D578" s="8"/>
      <c r="E578" s="19"/>
      <c r="F578" s="20"/>
      <c r="G578" s="17"/>
      <c r="H578" s="17"/>
      <c r="I578" s="18" t="str">
        <f t="shared" si="8"/>
        <v/>
      </c>
      <c r="J578" s="8"/>
    </row>
    <row r="579" spans="1:10" x14ac:dyDescent="0.3">
      <c r="A579" s="9"/>
      <c r="B579" s="8"/>
      <c r="C579" s="10" t="str">
        <f>IFERROR(VLOOKUP(B579,Activos!$A$5:$C$104,3,FALSE),"")</f>
        <v/>
      </c>
      <c r="D579" s="8"/>
      <c r="E579" s="19"/>
      <c r="F579" s="20"/>
      <c r="G579" s="17"/>
      <c r="H579" s="17"/>
      <c r="I579" s="18" t="str">
        <f t="shared" si="8"/>
        <v/>
      </c>
      <c r="J579" s="8"/>
    </row>
    <row r="580" spans="1:10" x14ac:dyDescent="0.3">
      <c r="A580" s="9"/>
      <c r="B580" s="8"/>
      <c r="C580" s="10" t="str">
        <f>IFERROR(VLOOKUP(B580,Activos!$A$5:$C$104,3,FALSE),"")</f>
        <v/>
      </c>
      <c r="D580" s="8"/>
      <c r="E580" s="19"/>
      <c r="F580" s="20"/>
      <c r="G580" s="17"/>
      <c r="H580" s="17"/>
      <c r="I580" s="18" t="str">
        <f t="shared" si="8"/>
        <v/>
      </c>
      <c r="J580" s="8"/>
    </row>
    <row r="581" spans="1:10" x14ac:dyDescent="0.3">
      <c r="A581" s="9"/>
      <c r="B581" s="8"/>
      <c r="C581" s="10" t="str">
        <f>IFERROR(VLOOKUP(B581,Activos!$A$5:$C$104,3,FALSE),"")</f>
        <v/>
      </c>
      <c r="D581" s="8"/>
      <c r="E581" s="19"/>
      <c r="F581" s="20"/>
      <c r="G581" s="17"/>
      <c r="H581" s="17"/>
      <c r="I581" s="18" t="str">
        <f t="shared" ref="I581:I644" si="9">IF(OR(D581="",G581=""),"",IF(D581="COMPRA",-G581-IF(H581="",0,H581),IF(D581="VENTA",G581-IF(H581="",0,H581),"")))</f>
        <v/>
      </c>
      <c r="J581" s="8"/>
    </row>
    <row r="582" spans="1:10" x14ac:dyDescent="0.3">
      <c r="A582" s="9"/>
      <c r="B582" s="8"/>
      <c r="C582" s="10" t="str">
        <f>IFERROR(VLOOKUP(B582,Activos!$A$5:$C$104,3,FALSE),"")</f>
        <v/>
      </c>
      <c r="D582" s="8"/>
      <c r="E582" s="19"/>
      <c r="F582" s="20"/>
      <c r="G582" s="17"/>
      <c r="H582" s="17"/>
      <c r="I582" s="18" t="str">
        <f t="shared" si="9"/>
        <v/>
      </c>
      <c r="J582" s="8"/>
    </row>
    <row r="583" spans="1:10" x14ac:dyDescent="0.3">
      <c r="A583" s="9"/>
      <c r="B583" s="8"/>
      <c r="C583" s="10" t="str">
        <f>IFERROR(VLOOKUP(B583,Activos!$A$5:$C$104,3,FALSE),"")</f>
        <v/>
      </c>
      <c r="D583" s="8"/>
      <c r="E583" s="19"/>
      <c r="F583" s="20"/>
      <c r="G583" s="17"/>
      <c r="H583" s="17"/>
      <c r="I583" s="18" t="str">
        <f t="shared" si="9"/>
        <v/>
      </c>
      <c r="J583" s="8"/>
    </row>
    <row r="584" spans="1:10" x14ac:dyDescent="0.3">
      <c r="A584" s="9"/>
      <c r="B584" s="8"/>
      <c r="C584" s="10" t="str">
        <f>IFERROR(VLOOKUP(B584,Activos!$A$5:$C$104,3,FALSE),"")</f>
        <v/>
      </c>
      <c r="D584" s="8"/>
      <c r="E584" s="19"/>
      <c r="F584" s="20"/>
      <c r="G584" s="17"/>
      <c r="H584" s="17"/>
      <c r="I584" s="18" t="str">
        <f t="shared" si="9"/>
        <v/>
      </c>
      <c r="J584" s="8"/>
    </row>
    <row r="585" spans="1:10" x14ac:dyDescent="0.3">
      <c r="A585" s="9"/>
      <c r="B585" s="8"/>
      <c r="C585" s="10" t="str">
        <f>IFERROR(VLOOKUP(B585,Activos!$A$5:$C$104,3,FALSE),"")</f>
        <v/>
      </c>
      <c r="D585" s="8"/>
      <c r="E585" s="19"/>
      <c r="F585" s="20"/>
      <c r="G585" s="17"/>
      <c r="H585" s="17"/>
      <c r="I585" s="18" t="str">
        <f t="shared" si="9"/>
        <v/>
      </c>
      <c r="J585" s="8"/>
    </row>
    <row r="586" spans="1:10" x14ac:dyDescent="0.3">
      <c r="A586" s="9"/>
      <c r="B586" s="8"/>
      <c r="C586" s="10" t="str">
        <f>IFERROR(VLOOKUP(B586,Activos!$A$5:$C$104,3,FALSE),"")</f>
        <v/>
      </c>
      <c r="D586" s="8"/>
      <c r="E586" s="19"/>
      <c r="F586" s="20"/>
      <c r="G586" s="17"/>
      <c r="H586" s="17"/>
      <c r="I586" s="18" t="str">
        <f t="shared" si="9"/>
        <v/>
      </c>
      <c r="J586" s="8"/>
    </row>
    <row r="587" spans="1:10" x14ac:dyDescent="0.3">
      <c r="A587" s="9"/>
      <c r="B587" s="8"/>
      <c r="C587" s="10" t="str">
        <f>IFERROR(VLOOKUP(B587,Activos!$A$5:$C$104,3,FALSE),"")</f>
        <v/>
      </c>
      <c r="D587" s="8"/>
      <c r="E587" s="19"/>
      <c r="F587" s="20"/>
      <c r="G587" s="17"/>
      <c r="H587" s="17"/>
      <c r="I587" s="18" t="str">
        <f t="shared" si="9"/>
        <v/>
      </c>
      <c r="J587" s="8"/>
    </row>
    <row r="588" spans="1:10" x14ac:dyDescent="0.3">
      <c r="A588" s="9"/>
      <c r="B588" s="8"/>
      <c r="C588" s="10" t="str">
        <f>IFERROR(VLOOKUP(B588,Activos!$A$5:$C$104,3,FALSE),"")</f>
        <v/>
      </c>
      <c r="D588" s="8"/>
      <c r="E588" s="19"/>
      <c r="F588" s="20"/>
      <c r="G588" s="17"/>
      <c r="H588" s="17"/>
      <c r="I588" s="18" t="str">
        <f t="shared" si="9"/>
        <v/>
      </c>
      <c r="J588" s="8"/>
    </row>
    <row r="589" spans="1:10" x14ac:dyDescent="0.3">
      <c r="A589" s="9"/>
      <c r="B589" s="8"/>
      <c r="C589" s="10" t="str">
        <f>IFERROR(VLOOKUP(B589,Activos!$A$5:$C$104,3,FALSE),"")</f>
        <v/>
      </c>
      <c r="D589" s="8"/>
      <c r="E589" s="19"/>
      <c r="F589" s="20"/>
      <c r="G589" s="17"/>
      <c r="H589" s="17"/>
      <c r="I589" s="18" t="str">
        <f t="shared" si="9"/>
        <v/>
      </c>
      <c r="J589" s="8"/>
    </row>
    <row r="590" spans="1:10" x14ac:dyDescent="0.3">
      <c r="A590" s="9"/>
      <c r="B590" s="8"/>
      <c r="C590" s="10" t="str">
        <f>IFERROR(VLOOKUP(B590,Activos!$A$5:$C$104,3,FALSE),"")</f>
        <v/>
      </c>
      <c r="D590" s="8"/>
      <c r="E590" s="19"/>
      <c r="F590" s="20"/>
      <c r="G590" s="17"/>
      <c r="H590" s="17"/>
      <c r="I590" s="18" t="str">
        <f t="shared" si="9"/>
        <v/>
      </c>
      <c r="J590" s="8"/>
    </row>
    <row r="591" spans="1:10" x14ac:dyDescent="0.3">
      <c r="A591" s="9"/>
      <c r="B591" s="8"/>
      <c r="C591" s="10" t="str">
        <f>IFERROR(VLOOKUP(B591,Activos!$A$5:$C$104,3,FALSE),"")</f>
        <v/>
      </c>
      <c r="D591" s="8"/>
      <c r="E591" s="19"/>
      <c r="F591" s="20"/>
      <c r="G591" s="17"/>
      <c r="H591" s="17"/>
      <c r="I591" s="18" t="str">
        <f t="shared" si="9"/>
        <v/>
      </c>
      <c r="J591" s="8"/>
    </row>
    <row r="592" spans="1:10" x14ac:dyDescent="0.3">
      <c r="A592" s="9"/>
      <c r="B592" s="8"/>
      <c r="C592" s="10" t="str">
        <f>IFERROR(VLOOKUP(B592,Activos!$A$5:$C$104,3,FALSE),"")</f>
        <v/>
      </c>
      <c r="D592" s="8"/>
      <c r="E592" s="19"/>
      <c r="F592" s="20"/>
      <c r="G592" s="17"/>
      <c r="H592" s="17"/>
      <c r="I592" s="18" t="str">
        <f t="shared" si="9"/>
        <v/>
      </c>
      <c r="J592" s="8"/>
    </row>
    <row r="593" spans="1:10" x14ac:dyDescent="0.3">
      <c r="A593" s="9"/>
      <c r="B593" s="8"/>
      <c r="C593" s="10" t="str">
        <f>IFERROR(VLOOKUP(B593,Activos!$A$5:$C$104,3,FALSE),"")</f>
        <v/>
      </c>
      <c r="D593" s="8"/>
      <c r="E593" s="19"/>
      <c r="F593" s="20"/>
      <c r="G593" s="17"/>
      <c r="H593" s="17"/>
      <c r="I593" s="18" t="str">
        <f t="shared" si="9"/>
        <v/>
      </c>
      <c r="J593" s="8"/>
    </row>
    <row r="594" spans="1:10" x14ac:dyDescent="0.3">
      <c r="A594" s="9"/>
      <c r="B594" s="8"/>
      <c r="C594" s="10" t="str">
        <f>IFERROR(VLOOKUP(B594,Activos!$A$5:$C$104,3,FALSE),"")</f>
        <v/>
      </c>
      <c r="D594" s="8"/>
      <c r="E594" s="19"/>
      <c r="F594" s="20"/>
      <c r="G594" s="17"/>
      <c r="H594" s="17"/>
      <c r="I594" s="18" t="str">
        <f t="shared" si="9"/>
        <v/>
      </c>
      <c r="J594" s="8"/>
    </row>
    <row r="595" spans="1:10" x14ac:dyDescent="0.3">
      <c r="A595" s="9"/>
      <c r="B595" s="8"/>
      <c r="C595" s="10" t="str">
        <f>IFERROR(VLOOKUP(B595,Activos!$A$5:$C$104,3,FALSE),"")</f>
        <v/>
      </c>
      <c r="D595" s="8"/>
      <c r="E595" s="19"/>
      <c r="F595" s="20"/>
      <c r="G595" s="17"/>
      <c r="H595" s="17"/>
      <c r="I595" s="18" t="str">
        <f t="shared" si="9"/>
        <v/>
      </c>
      <c r="J595" s="8"/>
    </row>
    <row r="596" spans="1:10" x14ac:dyDescent="0.3">
      <c r="A596" s="9"/>
      <c r="B596" s="8"/>
      <c r="C596" s="10" t="str">
        <f>IFERROR(VLOOKUP(B596,Activos!$A$5:$C$104,3,FALSE),"")</f>
        <v/>
      </c>
      <c r="D596" s="8"/>
      <c r="E596" s="19"/>
      <c r="F596" s="20"/>
      <c r="G596" s="17"/>
      <c r="H596" s="17"/>
      <c r="I596" s="18" t="str">
        <f t="shared" si="9"/>
        <v/>
      </c>
      <c r="J596" s="8"/>
    </row>
    <row r="597" spans="1:10" x14ac:dyDescent="0.3">
      <c r="A597" s="9"/>
      <c r="B597" s="8"/>
      <c r="C597" s="10" t="str">
        <f>IFERROR(VLOOKUP(B597,Activos!$A$5:$C$104,3,FALSE),"")</f>
        <v/>
      </c>
      <c r="D597" s="8"/>
      <c r="E597" s="19"/>
      <c r="F597" s="20"/>
      <c r="G597" s="17"/>
      <c r="H597" s="17"/>
      <c r="I597" s="18" t="str">
        <f t="shared" si="9"/>
        <v/>
      </c>
      <c r="J597" s="8"/>
    </row>
    <row r="598" spans="1:10" x14ac:dyDescent="0.3">
      <c r="A598" s="9"/>
      <c r="B598" s="8"/>
      <c r="C598" s="10" t="str">
        <f>IFERROR(VLOOKUP(B598,Activos!$A$5:$C$104,3,FALSE),"")</f>
        <v/>
      </c>
      <c r="D598" s="8"/>
      <c r="E598" s="19"/>
      <c r="F598" s="20"/>
      <c r="G598" s="17"/>
      <c r="H598" s="17"/>
      <c r="I598" s="18" t="str">
        <f t="shared" si="9"/>
        <v/>
      </c>
      <c r="J598" s="8"/>
    </row>
    <row r="599" spans="1:10" x14ac:dyDescent="0.3">
      <c r="A599" s="9"/>
      <c r="B599" s="8"/>
      <c r="C599" s="10" t="str">
        <f>IFERROR(VLOOKUP(B599,Activos!$A$5:$C$104,3,FALSE),"")</f>
        <v/>
      </c>
      <c r="D599" s="8"/>
      <c r="E599" s="19"/>
      <c r="F599" s="20"/>
      <c r="G599" s="17"/>
      <c r="H599" s="17"/>
      <c r="I599" s="18" t="str">
        <f t="shared" si="9"/>
        <v/>
      </c>
      <c r="J599" s="8"/>
    </row>
    <row r="600" spans="1:10" x14ac:dyDescent="0.3">
      <c r="A600" s="9"/>
      <c r="B600" s="8"/>
      <c r="C600" s="10" t="str">
        <f>IFERROR(VLOOKUP(B600,Activos!$A$5:$C$104,3,FALSE),"")</f>
        <v/>
      </c>
      <c r="D600" s="8"/>
      <c r="E600" s="19"/>
      <c r="F600" s="20"/>
      <c r="G600" s="17"/>
      <c r="H600" s="17"/>
      <c r="I600" s="18" t="str">
        <f t="shared" si="9"/>
        <v/>
      </c>
      <c r="J600" s="8"/>
    </row>
    <row r="601" spans="1:10" x14ac:dyDescent="0.3">
      <c r="A601" s="9"/>
      <c r="B601" s="8"/>
      <c r="C601" s="10" t="str">
        <f>IFERROR(VLOOKUP(B601,Activos!$A$5:$C$104,3,FALSE),"")</f>
        <v/>
      </c>
      <c r="D601" s="8"/>
      <c r="E601" s="19"/>
      <c r="F601" s="20"/>
      <c r="G601" s="17"/>
      <c r="H601" s="17"/>
      <c r="I601" s="18" t="str">
        <f t="shared" si="9"/>
        <v/>
      </c>
      <c r="J601" s="8"/>
    </row>
    <row r="602" spans="1:10" x14ac:dyDescent="0.3">
      <c r="A602" s="9"/>
      <c r="B602" s="8"/>
      <c r="C602" s="10" t="str">
        <f>IFERROR(VLOOKUP(B602,Activos!$A$5:$C$104,3,FALSE),"")</f>
        <v/>
      </c>
      <c r="D602" s="8"/>
      <c r="E602" s="19"/>
      <c r="F602" s="20"/>
      <c r="G602" s="17"/>
      <c r="H602" s="17"/>
      <c r="I602" s="18" t="str">
        <f t="shared" si="9"/>
        <v/>
      </c>
      <c r="J602" s="8"/>
    </row>
    <row r="603" spans="1:10" x14ac:dyDescent="0.3">
      <c r="A603" s="9"/>
      <c r="B603" s="8"/>
      <c r="C603" s="10" t="str">
        <f>IFERROR(VLOOKUP(B603,Activos!$A$5:$C$104,3,FALSE),"")</f>
        <v/>
      </c>
      <c r="D603" s="8"/>
      <c r="E603" s="19"/>
      <c r="F603" s="20"/>
      <c r="G603" s="17"/>
      <c r="H603" s="17"/>
      <c r="I603" s="18" t="str">
        <f t="shared" si="9"/>
        <v/>
      </c>
      <c r="J603" s="8"/>
    </row>
    <row r="604" spans="1:10" x14ac:dyDescent="0.3">
      <c r="A604" s="9"/>
      <c r="B604" s="8"/>
      <c r="C604" s="10" t="str">
        <f>IFERROR(VLOOKUP(B604,Activos!$A$5:$C$104,3,FALSE),"")</f>
        <v/>
      </c>
      <c r="D604" s="8"/>
      <c r="E604" s="19"/>
      <c r="F604" s="20"/>
      <c r="G604" s="17"/>
      <c r="H604" s="17"/>
      <c r="I604" s="18" t="str">
        <f t="shared" si="9"/>
        <v/>
      </c>
      <c r="J604" s="8"/>
    </row>
    <row r="605" spans="1:10" x14ac:dyDescent="0.3">
      <c r="A605" s="9"/>
      <c r="B605" s="8"/>
      <c r="C605" s="10" t="str">
        <f>IFERROR(VLOOKUP(B605,Activos!$A$5:$C$104,3,FALSE),"")</f>
        <v/>
      </c>
      <c r="D605" s="8"/>
      <c r="E605" s="19"/>
      <c r="F605" s="20"/>
      <c r="G605" s="17"/>
      <c r="H605" s="17"/>
      <c r="I605" s="18" t="str">
        <f t="shared" si="9"/>
        <v/>
      </c>
      <c r="J605" s="8"/>
    </row>
    <row r="606" spans="1:10" x14ac:dyDescent="0.3">
      <c r="A606" s="9"/>
      <c r="B606" s="8"/>
      <c r="C606" s="10" t="str">
        <f>IFERROR(VLOOKUP(B606,Activos!$A$5:$C$104,3,FALSE),"")</f>
        <v/>
      </c>
      <c r="D606" s="8"/>
      <c r="E606" s="19"/>
      <c r="F606" s="20"/>
      <c r="G606" s="17"/>
      <c r="H606" s="17"/>
      <c r="I606" s="18" t="str">
        <f t="shared" si="9"/>
        <v/>
      </c>
      <c r="J606" s="8"/>
    </row>
    <row r="607" spans="1:10" x14ac:dyDescent="0.3">
      <c r="A607" s="9"/>
      <c r="B607" s="8"/>
      <c r="C607" s="10" t="str">
        <f>IFERROR(VLOOKUP(B607,Activos!$A$5:$C$104,3,FALSE),"")</f>
        <v/>
      </c>
      <c r="D607" s="8"/>
      <c r="E607" s="19"/>
      <c r="F607" s="20"/>
      <c r="G607" s="17"/>
      <c r="H607" s="17"/>
      <c r="I607" s="18" t="str">
        <f t="shared" si="9"/>
        <v/>
      </c>
      <c r="J607" s="8"/>
    </row>
    <row r="608" spans="1:10" x14ac:dyDescent="0.3">
      <c r="A608" s="9"/>
      <c r="B608" s="8"/>
      <c r="C608" s="10" t="str">
        <f>IFERROR(VLOOKUP(B608,Activos!$A$5:$C$104,3,FALSE),"")</f>
        <v/>
      </c>
      <c r="D608" s="8"/>
      <c r="E608" s="19"/>
      <c r="F608" s="20"/>
      <c r="G608" s="17"/>
      <c r="H608" s="17"/>
      <c r="I608" s="18" t="str">
        <f t="shared" si="9"/>
        <v/>
      </c>
      <c r="J608" s="8"/>
    </row>
    <row r="609" spans="1:10" x14ac:dyDescent="0.3">
      <c r="A609" s="9"/>
      <c r="B609" s="8"/>
      <c r="C609" s="10" t="str">
        <f>IFERROR(VLOOKUP(B609,Activos!$A$5:$C$104,3,FALSE),"")</f>
        <v/>
      </c>
      <c r="D609" s="8"/>
      <c r="E609" s="19"/>
      <c r="F609" s="20"/>
      <c r="G609" s="17"/>
      <c r="H609" s="17"/>
      <c r="I609" s="18" t="str">
        <f t="shared" si="9"/>
        <v/>
      </c>
      <c r="J609" s="8"/>
    </row>
    <row r="610" spans="1:10" x14ac:dyDescent="0.3">
      <c r="A610" s="9"/>
      <c r="B610" s="8"/>
      <c r="C610" s="10" t="str">
        <f>IFERROR(VLOOKUP(B610,Activos!$A$5:$C$104,3,FALSE),"")</f>
        <v/>
      </c>
      <c r="D610" s="8"/>
      <c r="E610" s="19"/>
      <c r="F610" s="20"/>
      <c r="G610" s="17"/>
      <c r="H610" s="17"/>
      <c r="I610" s="18" t="str">
        <f t="shared" si="9"/>
        <v/>
      </c>
      <c r="J610" s="8"/>
    </row>
    <row r="611" spans="1:10" x14ac:dyDescent="0.3">
      <c r="A611" s="9"/>
      <c r="B611" s="8"/>
      <c r="C611" s="10" t="str">
        <f>IFERROR(VLOOKUP(B611,Activos!$A$5:$C$104,3,FALSE),"")</f>
        <v/>
      </c>
      <c r="D611" s="8"/>
      <c r="E611" s="19"/>
      <c r="F611" s="20"/>
      <c r="G611" s="17"/>
      <c r="H611" s="17"/>
      <c r="I611" s="18" t="str">
        <f t="shared" si="9"/>
        <v/>
      </c>
      <c r="J611" s="8"/>
    </row>
    <row r="612" spans="1:10" x14ac:dyDescent="0.3">
      <c r="A612" s="9"/>
      <c r="B612" s="8"/>
      <c r="C612" s="10" t="str">
        <f>IFERROR(VLOOKUP(B612,Activos!$A$5:$C$104,3,FALSE),"")</f>
        <v/>
      </c>
      <c r="D612" s="8"/>
      <c r="E612" s="19"/>
      <c r="F612" s="20"/>
      <c r="G612" s="17"/>
      <c r="H612" s="17"/>
      <c r="I612" s="18" t="str">
        <f t="shared" si="9"/>
        <v/>
      </c>
      <c r="J612" s="8"/>
    </row>
    <row r="613" spans="1:10" x14ac:dyDescent="0.3">
      <c r="A613" s="9"/>
      <c r="B613" s="8"/>
      <c r="C613" s="10" t="str">
        <f>IFERROR(VLOOKUP(B613,Activos!$A$5:$C$104,3,FALSE),"")</f>
        <v/>
      </c>
      <c r="D613" s="8"/>
      <c r="E613" s="19"/>
      <c r="F613" s="20"/>
      <c r="G613" s="17"/>
      <c r="H613" s="17"/>
      <c r="I613" s="18" t="str">
        <f t="shared" si="9"/>
        <v/>
      </c>
      <c r="J613" s="8"/>
    </row>
    <row r="614" spans="1:10" x14ac:dyDescent="0.3">
      <c r="A614" s="9"/>
      <c r="B614" s="8"/>
      <c r="C614" s="10" t="str">
        <f>IFERROR(VLOOKUP(B614,Activos!$A$5:$C$104,3,FALSE),"")</f>
        <v/>
      </c>
      <c r="D614" s="8"/>
      <c r="E614" s="19"/>
      <c r="F614" s="20"/>
      <c r="G614" s="17"/>
      <c r="H614" s="17"/>
      <c r="I614" s="18" t="str">
        <f t="shared" si="9"/>
        <v/>
      </c>
      <c r="J614" s="8"/>
    </row>
    <row r="615" spans="1:10" x14ac:dyDescent="0.3">
      <c r="A615" s="9"/>
      <c r="B615" s="8"/>
      <c r="C615" s="10" t="str">
        <f>IFERROR(VLOOKUP(B615,Activos!$A$5:$C$104,3,FALSE),"")</f>
        <v/>
      </c>
      <c r="D615" s="8"/>
      <c r="E615" s="19"/>
      <c r="F615" s="20"/>
      <c r="G615" s="17"/>
      <c r="H615" s="17"/>
      <c r="I615" s="18" t="str">
        <f t="shared" si="9"/>
        <v/>
      </c>
      <c r="J615" s="8"/>
    </row>
    <row r="616" spans="1:10" x14ac:dyDescent="0.3">
      <c r="A616" s="9"/>
      <c r="B616" s="8"/>
      <c r="C616" s="10" t="str">
        <f>IFERROR(VLOOKUP(B616,Activos!$A$5:$C$104,3,FALSE),"")</f>
        <v/>
      </c>
      <c r="D616" s="8"/>
      <c r="E616" s="19"/>
      <c r="F616" s="20"/>
      <c r="G616" s="17"/>
      <c r="H616" s="17"/>
      <c r="I616" s="18" t="str">
        <f t="shared" si="9"/>
        <v/>
      </c>
      <c r="J616" s="8"/>
    </row>
    <row r="617" spans="1:10" x14ac:dyDescent="0.3">
      <c r="A617" s="9"/>
      <c r="B617" s="8"/>
      <c r="C617" s="10" t="str">
        <f>IFERROR(VLOOKUP(B617,Activos!$A$5:$C$104,3,FALSE),"")</f>
        <v/>
      </c>
      <c r="D617" s="8"/>
      <c r="E617" s="19"/>
      <c r="F617" s="20"/>
      <c r="G617" s="17"/>
      <c r="H617" s="17"/>
      <c r="I617" s="18" t="str">
        <f t="shared" si="9"/>
        <v/>
      </c>
      <c r="J617" s="8"/>
    </row>
    <row r="618" spans="1:10" x14ac:dyDescent="0.3">
      <c r="A618" s="9"/>
      <c r="B618" s="8"/>
      <c r="C618" s="10" t="str">
        <f>IFERROR(VLOOKUP(B618,Activos!$A$5:$C$104,3,FALSE),"")</f>
        <v/>
      </c>
      <c r="D618" s="8"/>
      <c r="E618" s="19"/>
      <c r="F618" s="20"/>
      <c r="G618" s="17"/>
      <c r="H618" s="17"/>
      <c r="I618" s="18" t="str">
        <f t="shared" si="9"/>
        <v/>
      </c>
      <c r="J618" s="8"/>
    </row>
    <row r="619" spans="1:10" x14ac:dyDescent="0.3">
      <c r="A619" s="9"/>
      <c r="B619" s="8"/>
      <c r="C619" s="10" t="str">
        <f>IFERROR(VLOOKUP(B619,Activos!$A$5:$C$104,3,FALSE),"")</f>
        <v/>
      </c>
      <c r="D619" s="8"/>
      <c r="E619" s="19"/>
      <c r="F619" s="20"/>
      <c r="G619" s="17"/>
      <c r="H619" s="17"/>
      <c r="I619" s="18" t="str">
        <f t="shared" si="9"/>
        <v/>
      </c>
      <c r="J619" s="8"/>
    </row>
    <row r="620" spans="1:10" x14ac:dyDescent="0.3">
      <c r="A620" s="9"/>
      <c r="B620" s="8"/>
      <c r="C620" s="10" t="str">
        <f>IFERROR(VLOOKUP(B620,Activos!$A$5:$C$104,3,FALSE),"")</f>
        <v/>
      </c>
      <c r="D620" s="8"/>
      <c r="E620" s="19"/>
      <c r="F620" s="20"/>
      <c r="G620" s="17"/>
      <c r="H620" s="17"/>
      <c r="I620" s="18" t="str">
        <f t="shared" si="9"/>
        <v/>
      </c>
      <c r="J620" s="8"/>
    </row>
    <row r="621" spans="1:10" x14ac:dyDescent="0.3">
      <c r="A621" s="9"/>
      <c r="B621" s="8"/>
      <c r="C621" s="10" t="str">
        <f>IFERROR(VLOOKUP(B621,Activos!$A$5:$C$104,3,FALSE),"")</f>
        <v/>
      </c>
      <c r="D621" s="8"/>
      <c r="E621" s="19"/>
      <c r="F621" s="20"/>
      <c r="G621" s="17"/>
      <c r="H621" s="17"/>
      <c r="I621" s="18" t="str">
        <f t="shared" si="9"/>
        <v/>
      </c>
      <c r="J621" s="8"/>
    </row>
    <row r="622" spans="1:10" x14ac:dyDescent="0.3">
      <c r="A622" s="9"/>
      <c r="B622" s="8"/>
      <c r="C622" s="10" t="str">
        <f>IFERROR(VLOOKUP(B622,Activos!$A$5:$C$104,3,FALSE),"")</f>
        <v/>
      </c>
      <c r="D622" s="8"/>
      <c r="E622" s="19"/>
      <c r="F622" s="20"/>
      <c r="G622" s="17"/>
      <c r="H622" s="17"/>
      <c r="I622" s="18" t="str">
        <f t="shared" si="9"/>
        <v/>
      </c>
      <c r="J622" s="8"/>
    </row>
    <row r="623" spans="1:10" x14ac:dyDescent="0.3">
      <c r="A623" s="9"/>
      <c r="B623" s="8"/>
      <c r="C623" s="10" t="str">
        <f>IFERROR(VLOOKUP(B623,Activos!$A$5:$C$104,3,FALSE),"")</f>
        <v/>
      </c>
      <c r="D623" s="8"/>
      <c r="E623" s="19"/>
      <c r="F623" s="20"/>
      <c r="G623" s="17"/>
      <c r="H623" s="17"/>
      <c r="I623" s="18" t="str">
        <f t="shared" si="9"/>
        <v/>
      </c>
      <c r="J623" s="8"/>
    </row>
    <row r="624" spans="1:10" x14ac:dyDescent="0.3">
      <c r="A624" s="9"/>
      <c r="B624" s="8"/>
      <c r="C624" s="10" t="str">
        <f>IFERROR(VLOOKUP(B624,Activos!$A$5:$C$104,3,FALSE),"")</f>
        <v/>
      </c>
      <c r="D624" s="8"/>
      <c r="E624" s="19"/>
      <c r="F624" s="20"/>
      <c r="G624" s="17"/>
      <c r="H624" s="17"/>
      <c r="I624" s="18" t="str">
        <f t="shared" si="9"/>
        <v/>
      </c>
      <c r="J624" s="8"/>
    </row>
    <row r="625" spans="1:10" x14ac:dyDescent="0.3">
      <c r="A625" s="9"/>
      <c r="B625" s="8"/>
      <c r="C625" s="10" t="str">
        <f>IFERROR(VLOOKUP(B625,Activos!$A$5:$C$104,3,FALSE),"")</f>
        <v/>
      </c>
      <c r="D625" s="8"/>
      <c r="E625" s="19"/>
      <c r="F625" s="20"/>
      <c r="G625" s="17"/>
      <c r="H625" s="17"/>
      <c r="I625" s="18" t="str">
        <f t="shared" si="9"/>
        <v/>
      </c>
      <c r="J625" s="8"/>
    </row>
    <row r="626" spans="1:10" x14ac:dyDescent="0.3">
      <c r="A626" s="9"/>
      <c r="B626" s="8"/>
      <c r="C626" s="10" t="str">
        <f>IFERROR(VLOOKUP(B626,Activos!$A$5:$C$104,3,FALSE),"")</f>
        <v/>
      </c>
      <c r="D626" s="8"/>
      <c r="E626" s="19"/>
      <c r="F626" s="20"/>
      <c r="G626" s="17"/>
      <c r="H626" s="17"/>
      <c r="I626" s="18" t="str">
        <f t="shared" si="9"/>
        <v/>
      </c>
      <c r="J626" s="8"/>
    </row>
    <row r="627" spans="1:10" x14ac:dyDescent="0.3">
      <c r="A627" s="9"/>
      <c r="B627" s="8"/>
      <c r="C627" s="10" t="str">
        <f>IFERROR(VLOOKUP(B627,Activos!$A$5:$C$104,3,FALSE),"")</f>
        <v/>
      </c>
      <c r="D627" s="8"/>
      <c r="E627" s="19"/>
      <c r="F627" s="20"/>
      <c r="G627" s="17"/>
      <c r="H627" s="17"/>
      <c r="I627" s="18" t="str">
        <f t="shared" si="9"/>
        <v/>
      </c>
      <c r="J627" s="8"/>
    </row>
    <row r="628" spans="1:10" x14ac:dyDescent="0.3">
      <c r="A628" s="9"/>
      <c r="B628" s="8"/>
      <c r="C628" s="10" t="str">
        <f>IFERROR(VLOOKUP(B628,Activos!$A$5:$C$104,3,FALSE),"")</f>
        <v/>
      </c>
      <c r="D628" s="8"/>
      <c r="E628" s="19"/>
      <c r="F628" s="20"/>
      <c r="G628" s="17"/>
      <c r="H628" s="17"/>
      <c r="I628" s="18" t="str">
        <f t="shared" si="9"/>
        <v/>
      </c>
      <c r="J628" s="8"/>
    </row>
    <row r="629" spans="1:10" x14ac:dyDescent="0.3">
      <c r="A629" s="9"/>
      <c r="B629" s="8"/>
      <c r="C629" s="10" t="str">
        <f>IFERROR(VLOOKUP(B629,Activos!$A$5:$C$104,3,FALSE),"")</f>
        <v/>
      </c>
      <c r="D629" s="8"/>
      <c r="E629" s="19"/>
      <c r="F629" s="20"/>
      <c r="G629" s="17"/>
      <c r="H629" s="17"/>
      <c r="I629" s="18" t="str">
        <f t="shared" si="9"/>
        <v/>
      </c>
      <c r="J629" s="8"/>
    </row>
    <row r="630" spans="1:10" x14ac:dyDescent="0.3">
      <c r="A630" s="9"/>
      <c r="B630" s="8"/>
      <c r="C630" s="10" t="str">
        <f>IFERROR(VLOOKUP(B630,Activos!$A$5:$C$104,3,FALSE),"")</f>
        <v/>
      </c>
      <c r="D630" s="8"/>
      <c r="E630" s="19"/>
      <c r="F630" s="20"/>
      <c r="G630" s="17"/>
      <c r="H630" s="17"/>
      <c r="I630" s="18" t="str">
        <f t="shared" si="9"/>
        <v/>
      </c>
      <c r="J630" s="8"/>
    </row>
    <row r="631" spans="1:10" x14ac:dyDescent="0.3">
      <c r="A631" s="9"/>
      <c r="B631" s="8"/>
      <c r="C631" s="10" t="str">
        <f>IFERROR(VLOOKUP(B631,Activos!$A$5:$C$104,3,FALSE),"")</f>
        <v/>
      </c>
      <c r="D631" s="8"/>
      <c r="E631" s="19"/>
      <c r="F631" s="20"/>
      <c r="G631" s="17"/>
      <c r="H631" s="17"/>
      <c r="I631" s="18" t="str">
        <f t="shared" si="9"/>
        <v/>
      </c>
      <c r="J631" s="8"/>
    </row>
    <row r="632" spans="1:10" x14ac:dyDescent="0.3">
      <c r="A632" s="9"/>
      <c r="B632" s="8"/>
      <c r="C632" s="10" t="str">
        <f>IFERROR(VLOOKUP(B632,Activos!$A$5:$C$104,3,FALSE),"")</f>
        <v/>
      </c>
      <c r="D632" s="8"/>
      <c r="E632" s="19"/>
      <c r="F632" s="20"/>
      <c r="G632" s="17"/>
      <c r="H632" s="17"/>
      <c r="I632" s="18" t="str">
        <f t="shared" si="9"/>
        <v/>
      </c>
      <c r="J632" s="8"/>
    </row>
    <row r="633" spans="1:10" x14ac:dyDescent="0.3">
      <c r="A633" s="9"/>
      <c r="B633" s="8"/>
      <c r="C633" s="10" t="str">
        <f>IFERROR(VLOOKUP(B633,Activos!$A$5:$C$104,3,FALSE),"")</f>
        <v/>
      </c>
      <c r="D633" s="8"/>
      <c r="E633" s="19"/>
      <c r="F633" s="20"/>
      <c r="G633" s="17"/>
      <c r="H633" s="17"/>
      <c r="I633" s="18" t="str">
        <f t="shared" si="9"/>
        <v/>
      </c>
      <c r="J633" s="8"/>
    </row>
    <row r="634" spans="1:10" x14ac:dyDescent="0.3">
      <c r="A634" s="9"/>
      <c r="B634" s="8"/>
      <c r="C634" s="10" t="str">
        <f>IFERROR(VLOOKUP(B634,Activos!$A$5:$C$104,3,FALSE),"")</f>
        <v/>
      </c>
      <c r="D634" s="8"/>
      <c r="E634" s="19"/>
      <c r="F634" s="20"/>
      <c r="G634" s="17"/>
      <c r="H634" s="17"/>
      <c r="I634" s="18" t="str">
        <f t="shared" si="9"/>
        <v/>
      </c>
      <c r="J634" s="8"/>
    </row>
    <row r="635" spans="1:10" x14ac:dyDescent="0.3">
      <c r="A635" s="9"/>
      <c r="B635" s="8"/>
      <c r="C635" s="10" t="str">
        <f>IFERROR(VLOOKUP(B635,Activos!$A$5:$C$104,3,FALSE),"")</f>
        <v/>
      </c>
      <c r="D635" s="8"/>
      <c r="E635" s="19"/>
      <c r="F635" s="20"/>
      <c r="G635" s="17"/>
      <c r="H635" s="17"/>
      <c r="I635" s="18" t="str">
        <f t="shared" si="9"/>
        <v/>
      </c>
      <c r="J635" s="8"/>
    </row>
    <row r="636" spans="1:10" x14ac:dyDescent="0.3">
      <c r="A636" s="9"/>
      <c r="B636" s="8"/>
      <c r="C636" s="10" t="str">
        <f>IFERROR(VLOOKUP(B636,Activos!$A$5:$C$104,3,FALSE),"")</f>
        <v/>
      </c>
      <c r="D636" s="8"/>
      <c r="E636" s="19"/>
      <c r="F636" s="20"/>
      <c r="G636" s="17"/>
      <c r="H636" s="17"/>
      <c r="I636" s="18" t="str">
        <f t="shared" si="9"/>
        <v/>
      </c>
      <c r="J636" s="8"/>
    </row>
    <row r="637" spans="1:10" x14ac:dyDescent="0.3">
      <c r="A637" s="9"/>
      <c r="B637" s="8"/>
      <c r="C637" s="10" t="str">
        <f>IFERROR(VLOOKUP(B637,Activos!$A$5:$C$104,3,FALSE),"")</f>
        <v/>
      </c>
      <c r="D637" s="8"/>
      <c r="E637" s="19"/>
      <c r="F637" s="20"/>
      <c r="G637" s="17"/>
      <c r="H637" s="17"/>
      <c r="I637" s="18" t="str">
        <f t="shared" si="9"/>
        <v/>
      </c>
      <c r="J637" s="8"/>
    </row>
    <row r="638" spans="1:10" x14ac:dyDescent="0.3">
      <c r="A638" s="9"/>
      <c r="B638" s="8"/>
      <c r="C638" s="10" t="str">
        <f>IFERROR(VLOOKUP(B638,Activos!$A$5:$C$104,3,FALSE),"")</f>
        <v/>
      </c>
      <c r="D638" s="8"/>
      <c r="E638" s="19"/>
      <c r="F638" s="20"/>
      <c r="G638" s="17"/>
      <c r="H638" s="17"/>
      <c r="I638" s="18" t="str">
        <f t="shared" si="9"/>
        <v/>
      </c>
      <c r="J638" s="8"/>
    </row>
    <row r="639" spans="1:10" x14ac:dyDescent="0.3">
      <c r="A639" s="9"/>
      <c r="B639" s="8"/>
      <c r="C639" s="10" t="str">
        <f>IFERROR(VLOOKUP(B639,Activos!$A$5:$C$104,3,FALSE),"")</f>
        <v/>
      </c>
      <c r="D639" s="8"/>
      <c r="E639" s="19"/>
      <c r="F639" s="20"/>
      <c r="G639" s="17"/>
      <c r="H639" s="17"/>
      <c r="I639" s="18" t="str">
        <f t="shared" si="9"/>
        <v/>
      </c>
      <c r="J639" s="8"/>
    </row>
    <row r="640" spans="1:10" x14ac:dyDescent="0.3">
      <c r="A640" s="9"/>
      <c r="B640" s="8"/>
      <c r="C640" s="10" t="str">
        <f>IFERROR(VLOOKUP(B640,Activos!$A$5:$C$104,3,FALSE),"")</f>
        <v/>
      </c>
      <c r="D640" s="8"/>
      <c r="E640" s="19"/>
      <c r="F640" s="20"/>
      <c r="G640" s="17"/>
      <c r="H640" s="17"/>
      <c r="I640" s="18" t="str">
        <f t="shared" si="9"/>
        <v/>
      </c>
      <c r="J640" s="8"/>
    </row>
    <row r="641" spans="1:10" x14ac:dyDescent="0.3">
      <c r="A641" s="9"/>
      <c r="B641" s="8"/>
      <c r="C641" s="10" t="str">
        <f>IFERROR(VLOOKUP(B641,Activos!$A$5:$C$104,3,FALSE),"")</f>
        <v/>
      </c>
      <c r="D641" s="8"/>
      <c r="E641" s="19"/>
      <c r="F641" s="20"/>
      <c r="G641" s="17"/>
      <c r="H641" s="17"/>
      <c r="I641" s="18" t="str">
        <f t="shared" si="9"/>
        <v/>
      </c>
      <c r="J641" s="8"/>
    </row>
    <row r="642" spans="1:10" x14ac:dyDescent="0.3">
      <c r="A642" s="9"/>
      <c r="B642" s="8"/>
      <c r="C642" s="10" t="str">
        <f>IFERROR(VLOOKUP(B642,Activos!$A$5:$C$104,3,FALSE),"")</f>
        <v/>
      </c>
      <c r="D642" s="8"/>
      <c r="E642" s="19"/>
      <c r="F642" s="20"/>
      <c r="G642" s="17"/>
      <c r="H642" s="17"/>
      <c r="I642" s="18" t="str">
        <f t="shared" si="9"/>
        <v/>
      </c>
      <c r="J642" s="8"/>
    </row>
    <row r="643" spans="1:10" x14ac:dyDescent="0.3">
      <c r="A643" s="9"/>
      <c r="B643" s="8"/>
      <c r="C643" s="10" t="str">
        <f>IFERROR(VLOOKUP(B643,Activos!$A$5:$C$104,3,FALSE),"")</f>
        <v/>
      </c>
      <c r="D643" s="8"/>
      <c r="E643" s="19"/>
      <c r="F643" s="20"/>
      <c r="G643" s="17"/>
      <c r="H643" s="17"/>
      <c r="I643" s="18" t="str">
        <f t="shared" si="9"/>
        <v/>
      </c>
      <c r="J643" s="8"/>
    </row>
    <row r="644" spans="1:10" x14ac:dyDescent="0.3">
      <c r="A644" s="9"/>
      <c r="B644" s="8"/>
      <c r="C644" s="10" t="str">
        <f>IFERROR(VLOOKUP(B644,Activos!$A$5:$C$104,3,FALSE),"")</f>
        <v/>
      </c>
      <c r="D644" s="8"/>
      <c r="E644" s="19"/>
      <c r="F644" s="20"/>
      <c r="G644" s="17"/>
      <c r="H644" s="17"/>
      <c r="I644" s="18" t="str">
        <f t="shared" si="9"/>
        <v/>
      </c>
      <c r="J644" s="8"/>
    </row>
    <row r="645" spans="1:10" x14ac:dyDescent="0.3">
      <c r="A645" s="9"/>
      <c r="B645" s="8"/>
      <c r="C645" s="10" t="str">
        <f>IFERROR(VLOOKUP(B645,Activos!$A$5:$C$104,3,FALSE),"")</f>
        <v/>
      </c>
      <c r="D645" s="8"/>
      <c r="E645" s="19"/>
      <c r="F645" s="20"/>
      <c r="G645" s="17"/>
      <c r="H645" s="17"/>
      <c r="I645" s="18" t="str">
        <f t="shared" ref="I645:I708" si="10">IF(OR(D645="",G645=""),"",IF(D645="COMPRA",-G645-IF(H645="",0,H645),IF(D645="VENTA",G645-IF(H645="",0,H645),"")))</f>
        <v/>
      </c>
      <c r="J645" s="8"/>
    </row>
    <row r="646" spans="1:10" x14ac:dyDescent="0.3">
      <c r="A646" s="9"/>
      <c r="B646" s="8"/>
      <c r="C646" s="10" t="str">
        <f>IFERROR(VLOOKUP(B646,Activos!$A$5:$C$104,3,FALSE),"")</f>
        <v/>
      </c>
      <c r="D646" s="8"/>
      <c r="E646" s="19"/>
      <c r="F646" s="20"/>
      <c r="G646" s="17"/>
      <c r="H646" s="17"/>
      <c r="I646" s="18" t="str">
        <f t="shared" si="10"/>
        <v/>
      </c>
      <c r="J646" s="8"/>
    </row>
    <row r="647" spans="1:10" x14ac:dyDescent="0.3">
      <c r="A647" s="9"/>
      <c r="B647" s="8"/>
      <c r="C647" s="10" t="str">
        <f>IFERROR(VLOOKUP(B647,Activos!$A$5:$C$104,3,FALSE),"")</f>
        <v/>
      </c>
      <c r="D647" s="8"/>
      <c r="E647" s="19"/>
      <c r="F647" s="20"/>
      <c r="G647" s="17"/>
      <c r="H647" s="17"/>
      <c r="I647" s="18" t="str">
        <f t="shared" si="10"/>
        <v/>
      </c>
      <c r="J647" s="8"/>
    </row>
    <row r="648" spans="1:10" x14ac:dyDescent="0.3">
      <c r="A648" s="9"/>
      <c r="B648" s="8"/>
      <c r="C648" s="10" t="str">
        <f>IFERROR(VLOOKUP(B648,Activos!$A$5:$C$104,3,FALSE),"")</f>
        <v/>
      </c>
      <c r="D648" s="8"/>
      <c r="E648" s="19"/>
      <c r="F648" s="20"/>
      <c r="G648" s="17"/>
      <c r="H648" s="17"/>
      <c r="I648" s="18" t="str">
        <f t="shared" si="10"/>
        <v/>
      </c>
      <c r="J648" s="8"/>
    </row>
    <row r="649" spans="1:10" x14ac:dyDescent="0.3">
      <c r="A649" s="9"/>
      <c r="B649" s="8"/>
      <c r="C649" s="10" t="str">
        <f>IFERROR(VLOOKUP(B649,Activos!$A$5:$C$104,3,FALSE),"")</f>
        <v/>
      </c>
      <c r="D649" s="8"/>
      <c r="E649" s="19"/>
      <c r="F649" s="20"/>
      <c r="G649" s="17"/>
      <c r="H649" s="17"/>
      <c r="I649" s="18" t="str">
        <f t="shared" si="10"/>
        <v/>
      </c>
      <c r="J649" s="8"/>
    </row>
    <row r="650" spans="1:10" x14ac:dyDescent="0.3">
      <c r="A650" s="9"/>
      <c r="B650" s="8"/>
      <c r="C650" s="10" t="str">
        <f>IFERROR(VLOOKUP(B650,Activos!$A$5:$C$104,3,FALSE),"")</f>
        <v/>
      </c>
      <c r="D650" s="8"/>
      <c r="E650" s="19"/>
      <c r="F650" s="20"/>
      <c r="G650" s="17"/>
      <c r="H650" s="17"/>
      <c r="I650" s="18" t="str">
        <f t="shared" si="10"/>
        <v/>
      </c>
      <c r="J650" s="8"/>
    </row>
    <row r="651" spans="1:10" x14ac:dyDescent="0.3">
      <c r="A651" s="9"/>
      <c r="B651" s="8"/>
      <c r="C651" s="10" t="str">
        <f>IFERROR(VLOOKUP(B651,Activos!$A$5:$C$104,3,FALSE),"")</f>
        <v/>
      </c>
      <c r="D651" s="8"/>
      <c r="E651" s="19"/>
      <c r="F651" s="20"/>
      <c r="G651" s="17"/>
      <c r="H651" s="17"/>
      <c r="I651" s="18" t="str">
        <f t="shared" si="10"/>
        <v/>
      </c>
      <c r="J651" s="8"/>
    </row>
    <row r="652" spans="1:10" x14ac:dyDescent="0.3">
      <c r="A652" s="9"/>
      <c r="B652" s="8"/>
      <c r="C652" s="10" t="str">
        <f>IFERROR(VLOOKUP(B652,Activos!$A$5:$C$104,3,FALSE),"")</f>
        <v/>
      </c>
      <c r="D652" s="8"/>
      <c r="E652" s="19"/>
      <c r="F652" s="20"/>
      <c r="G652" s="17"/>
      <c r="H652" s="17"/>
      <c r="I652" s="18" t="str">
        <f t="shared" si="10"/>
        <v/>
      </c>
      <c r="J652" s="8"/>
    </row>
    <row r="653" spans="1:10" x14ac:dyDescent="0.3">
      <c r="A653" s="9"/>
      <c r="B653" s="8"/>
      <c r="C653" s="10" t="str">
        <f>IFERROR(VLOOKUP(B653,Activos!$A$5:$C$104,3,FALSE),"")</f>
        <v/>
      </c>
      <c r="D653" s="8"/>
      <c r="E653" s="19"/>
      <c r="F653" s="20"/>
      <c r="G653" s="17"/>
      <c r="H653" s="17"/>
      <c r="I653" s="18" t="str">
        <f t="shared" si="10"/>
        <v/>
      </c>
      <c r="J653" s="8"/>
    </row>
    <row r="654" spans="1:10" x14ac:dyDescent="0.3">
      <c r="A654" s="9"/>
      <c r="B654" s="8"/>
      <c r="C654" s="10" t="str">
        <f>IFERROR(VLOOKUP(B654,Activos!$A$5:$C$104,3,FALSE),"")</f>
        <v/>
      </c>
      <c r="D654" s="8"/>
      <c r="E654" s="19"/>
      <c r="F654" s="20"/>
      <c r="G654" s="17"/>
      <c r="H654" s="17"/>
      <c r="I654" s="18" t="str">
        <f t="shared" si="10"/>
        <v/>
      </c>
      <c r="J654" s="8"/>
    </row>
    <row r="655" spans="1:10" x14ac:dyDescent="0.3">
      <c r="A655" s="9"/>
      <c r="B655" s="8"/>
      <c r="C655" s="10" t="str">
        <f>IFERROR(VLOOKUP(B655,Activos!$A$5:$C$104,3,FALSE),"")</f>
        <v/>
      </c>
      <c r="D655" s="8"/>
      <c r="E655" s="19"/>
      <c r="F655" s="20"/>
      <c r="G655" s="17"/>
      <c r="H655" s="17"/>
      <c r="I655" s="18" t="str">
        <f t="shared" si="10"/>
        <v/>
      </c>
      <c r="J655" s="8"/>
    </row>
    <row r="656" spans="1:10" x14ac:dyDescent="0.3">
      <c r="A656" s="9"/>
      <c r="B656" s="8"/>
      <c r="C656" s="10" t="str">
        <f>IFERROR(VLOOKUP(B656,Activos!$A$5:$C$104,3,FALSE),"")</f>
        <v/>
      </c>
      <c r="D656" s="8"/>
      <c r="E656" s="19"/>
      <c r="F656" s="20"/>
      <c r="G656" s="17"/>
      <c r="H656" s="17"/>
      <c r="I656" s="18" t="str">
        <f t="shared" si="10"/>
        <v/>
      </c>
      <c r="J656" s="8"/>
    </row>
    <row r="657" spans="1:10" x14ac:dyDescent="0.3">
      <c r="A657" s="9"/>
      <c r="B657" s="8"/>
      <c r="C657" s="10" t="str">
        <f>IFERROR(VLOOKUP(B657,Activos!$A$5:$C$104,3,FALSE),"")</f>
        <v/>
      </c>
      <c r="D657" s="8"/>
      <c r="E657" s="19"/>
      <c r="F657" s="20"/>
      <c r="G657" s="17"/>
      <c r="H657" s="17"/>
      <c r="I657" s="18" t="str">
        <f t="shared" si="10"/>
        <v/>
      </c>
      <c r="J657" s="8"/>
    </row>
    <row r="658" spans="1:10" x14ac:dyDescent="0.3">
      <c r="A658" s="9"/>
      <c r="B658" s="8"/>
      <c r="C658" s="10" t="str">
        <f>IFERROR(VLOOKUP(B658,Activos!$A$5:$C$104,3,FALSE),"")</f>
        <v/>
      </c>
      <c r="D658" s="8"/>
      <c r="E658" s="19"/>
      <c r="F658" s="20"/>
      <c r="G658" s="17"/>
      <c r="H658" s="17"/>
      <c r="I658" s="18" t="str">
        <f t="shared" si="10"/>
        <v/>
      </c>
      <c r="J658" s="8"/>
    </row>
    <row r="659" spans="1:10" x14ac:dyDescent="0.3">
      <c r="A659" s="9"/>
      <c r="B659" s="8"/>
      <c r="C659" s="10" t="str">
        <f>IFERROR(VLOOKUP(B659,Activos!$A$5:$C$104,3,FALSE),"")</f>
        <v/>
      </c>
      <c r="D659" s="8"/>
      <c r="E659" s="19"/>
      <c r="F659" s="20"/>
      <c r="G659" s="17"/>
      <c r="H659" s="17"/>
      <c r="I659" s="18" t="str">
        <f t="shared" si="10"/>
        <v/>
      </c>
      <c r="J659" s="8"/>
    </row>
    <row r="660" spans="1:10" x14ac:dyDescent="0.3">
      <c r="A660" s="9"/>
      <c r="B660" s="8"/>
      <c r="C660" s="10" t="str">
        <f>IFERROR(VLOOKUP(B660,Activos!$A$5:$C$104,3,FALSE),"")</f>
        <v/>
      </c>
      <c r="D660" s="8"/>
      <c r="E660" s="19"/>
      <c r="F660" s="20"/>
      <c r="G660" s="17"/>
      <c r="H660" s="17"/>
      <c r="I660" s="18" t="str">
        <f t="shared" si="10"/>
        <v/>
      </c>
      <c r="J660" s="8"/>
    </row>
    <row r="661" spans="1:10" x14ac:dyDescent="0.3">
      <c r="A661" s="9"/>
      <c r="B661" s="8"/>
      <c r="C661" s="10" t="str">
        <f>IFERROR(VLOOKUP(B661,Activos!$A$5:$C$104,3,FALSE),"")</f>
        <v/>
      </c>
      <c r="D661" s="8"/>
      <c r="E661" s="19"/>
      <c r="F661" s="20"/>
      <c r="G661" s="17"/>
      <c r="H661" s="17"/>
      <c r="I661" s="18" t="str">
        <f t="shared" si="10"/>
        <v/>
      </c>
      <c r="J661" s="8"/>
    </row>
    <row r="662" spans="1:10" x14ac:dyDescent="0.3">
      <c r="A662" s="9"/>
      <c r="B662" s="8"/>
      <c r="C662" s="10" t="str">
        <f>IFERROR(VLOOKUP(B662,Activos!$A$5:$C$104,3,FALSE),"")</f>
        <v/>
      </c>
      <c r="D662" s="8"/>
      <c r="E662" s="19"/>
      <c r="F662" s="20"/>
      <c r="G662" s="17"/>
      <c r="H662" s="17"/>
      <c r="I662" s="18" t="str">
        <f t="shared" si="10"/>
        <v/>
      </c>
      <c r="J662" s="8"/>
    </row>
    <row r="663" spans="1:10" x14ac:dyDescent="0.3">
      <c r="A663" s="9"/>
      <c r="B663" s="8"/>
      <c r="C663" s="10" t="str">
        <f>IFERROR(VLOOKUP(B663,Activos!$A$5:$C$104,3,FALSE),"")</f>
        <v/>
      </c>
      <c r="D663" s="8"/>
      <c r="E663" s="19"/>
      <c r="F663" s="20"/>
      <c r="G663" s="17"/>
      <c r="H663" s="17"/>
      <c r="I663" s="18" t="str">
        <f t="shared" si="10"/>
        <v/>
      </c>
      <c r="J663" s="8"/>
    </row>
    <row r="664" spans="1:10" x14ac:dyDescent="0.3">
      <c r="A664" s="9"/>
      <c r="B664" s="8"/>
      <c r="C664" s="10" t="str">
        <f>IFERROR(VLOOKUP(B664,Activos!$A$5:$C$104,3,FALSE),"")</f>
        <v/>
      </c>
      <c r="D664" s="8"/>
      <c r="E664" s="19"/>
      <c r="F664" s="20"/>
      <c r="G664" s="17"/>
      <c r="H664" s="17"/>
      <c r="I664" s="18" t="str">
        <f t="shared" si="10"/>
        <v/>
      </c>
      <c r="J664" s="8"/>
    </row>
    <row r="665" spans="1:10" x14ac:dyDescent="0.3">
      <c r="A665" s="9"/>
      <c r="B665" s="8"/>
      <c r="C665" s="10" t="str">
        <f>IFERROR(VLOOKUP(B665,Activos!$A$5:$C$104,3,FALSE),"")</f>
        <v/>
      </c>
      <c r="D665" s="8"/>
      <c r="E665" s="19"/>
      <c r="F665" s="20"/>
      <c r="G665" s="17"/>
      <c r="H665" s="17"/>
      <c r="I665" s="18" t="str">
        <f t="shared" si="10"/>
        <v/>
      </c>
      <c r="J665" s="8"/>
    </row>
    <row r="666" spans="1:10" x14ac:dyDescent="0.3">
      <c r="A666" s="9"/>
      <c r="B666" s="8"/>
      <c r="C666" s="10" t="str">
        <f>IFERROR(VLOOKUP(B666,Activos!$A$5:$C$104,3,FALSE),"")</f>
        <v/>
      </c>
      <c r="D666" s="8"/>
      <c r="E666" s="19"/>
      <c r="F666" s="20"/>
      <c r="G666" s="17"/>
      <c r="H666" s="17"/>
      <c r="I666" s="18" t="str">
        <f t="shared" si="10"/>
        <v/>
      </c>
      <c r="J666" s="8"/>
    </row>
    <row r="667" spans="1:10" x14ac:dyDescent="0.3">
      <c r="A667" s="9"/>
      <c r="B667" s="8"/>
      <c r="C667" s="10" t="str">
        <f>IFERROR(VLOOKUP(B667,Activos!$A$5:$C$104,3,FALSE),"")</f>
        <v/>
      </c>
      <c r="D667" s="8"/>
      <c r="E667" s="19"/>
      <c r="F667" s="20"/>
      <c r="G667" s="17"/>
      <c r="H667" s="17"/>
      <c r="I667" s="18" t="str">
        <f t="shared" si="10"/>
        <v/>
      </c>
      <c r="J667" s="8"/>
    </row>
    <row r="668" spans="1:10" x14ac:dyDescent="0.3">
      <c r="A668" s="9"/>
      <c r="B668" s="8"/>
      <c r="C668" s="10" t="str">
        <f>IFERROR(VLOOKUP(B668,Activos!$A$5:$C$104,3,FALSE),"")</f>
        <v/>
      </c>
      <c r="D668" s="8"/>
      <c r="E668" s="19"/>
      <c r="F668" s="20"/>
      <c r="G668" s="17"/>
      <c r="H668" s="17"/>
      <c r="I668" s="18" t="str">
        <f t="shared" si="10"/>
        <v/>
      </c>
      <c r="J668" s="8"/>
    </row>
    <row r="669" spans="1:10" x14ac:dyDescent="0.3">
      <c r="A669" s="9"/>
      <c r="B669" s="8"/>
      <c r="C669" s="10" t="str">
        <f>IFERROR(VLOOKUP(B669,Activos!$A$5:$C$104,3,FALSE),"")</f>
        <v/>
      </c>
      <c r="D669" s="8"/>
      <c r="E669" s="19"/>
      <c r="F669" s="20"/>
      <c r="G669" s="17"/>
      <c r="H669" s="17"/>
      <c r="I669" s="18" t="str">
        <f t="shared" si="10"/>
        <v/>
      </c>
      <c r="J669" s="8"/>
    </row>
    <row r="670" spans="1:10" x14ac:dyDescent="0.3">
      <c r="A670" s="9"/>
      <c r="B670" s="8"/>
      <c r="C670" s="10" t="str">
        <f>IFERROR(VLOOKUP(B670,Activos!$A$5:$C$104,3,FALSE),"")</f>
        <v/>
      </c>
      <c r="D670" s="8"/>
      <c r="E670" s="19"/>
      <c r="F670" s="20"/>
      <c r="G670" s="17"/>
      <c r="H670" s="17"/>
      <c r="I670" s="18" t="str">
        <f t="shared" si="10"/>
        <v/>
      </c>
      <c r="J670" s="8"/>
    </row>
    <row r="671" spans="1:10" x14ac:dyDescent="0.3">
      <c r="A671" s="9"/>
      <c r="B671" s="8"/>
      <c r="C671" s="10" t="str">
        <f>IFERROR(VLOOKUP(B671,Activos!$A$5:$C$104,3,FALSE),"")</f>
        <v/>
      </c>
      <c r="D671" s="8"/>
      <c r="E671" s="19"/>
      <c r="F671" s="20"/>
      <c r="G671" s="17"/>
      <c r="H671" s="17"/>
      <c r="I671" s="18" t="str">
        <f t="shared" si="10"/>
        <v/>
      </c>
      <c r="J671" s="8"/>
    </row>
    <row r="672" spans="1:10" x14ac:dyDescent="0.3">
      <c r="A672" s="9"/>
      <c r="B672" s="8"/>
      <c r="C672" s="10" t="str">
        <f>IFERROR(VLOOKUP(B672,Activos!$A$5:$C$104,3,FALSE),"")</f>
        <v/>
      </c>
      <c r="D672" s="8"/>
      <c r="E672" s="19"/>
      <c r="F672" s="20"/>
      <c r="G672" s="17"/>
      <c r="H672" s="17"/>
      <c r="I672" s="18" t="str">
        <f t="shared" si="10"/>
        <v/>
      </c>
      <c r="J672" s="8"/>
    </row>
    <row r="673" spans="1:10" x14ac:dyDescent="0.3">
      <c r="A673" s="9"/>
      <c r="B673" s="8"/>
      <c r="C673" s="10" t="str">
        <f>IFERROR(VLOOKUP(B673,Activos!$A$5:$C$104,3,FALSE),"")</f>
        <v/>
      </c>
      <c r="D673" s="8"/>
      <c r="E673" s="19"/>
      <c r="F673" s="20"/>
      <c r="G673" s="17"/>
      <c r="H673" s="17"/>
      <c r="I673" s="18" t="str">
        <f t="shared" si="10"/>
        <v/>
      </c>
      <c r="J673" s="8"/>
    </row>
    <row r="674" spans="1:10" x14ac:dyDescent="0.3">
      <c r="A674" s="9"/>
      <c r="B674" s="8"/>
      <c r="C674" s="10" t="str">
        <f>IFERROR(VLOOKUP(B674,Activos!$A$5:$C$104,3,FALSE),"")</f>
        <v/>
      </c>
      <c r="D674" s="8"/>
      <c r="E674" s="19"/>
      <c r="F674" s="20"/>
      <c r="G674" s="17"/>
      <c r="H674" s="17"/>
      <c r="I674" s="18" t="str">
        <f t="shared" si="10"/>
        <v/>
      </c>
      <c r="J674" s="8"/>
    </row>
    <row r="675" spans="1:10" x14ac:dyDescent="0.3">
      <c r="A675" s="9"/>
      <c r="B675" s="8"/>
      <c r="C675" s="10" t="str">
        <f>IFERROR(VLOOKUP(B675,Activos!$A$5:$C$104,3,FALSE),"")</f>
        <v/>
      </c>
      <c r="D675" s="8"/>
      <c r="E675" s="19"/>
      <c r="F675" s="20"/>
      <c r="G675" s="17"/>
      <c r="H675" s="17"/>
      <c r="I675" s="18" t="str">
        <f t="shared" si="10"/>
        <v/>
      </c>
      <c r="J675" s="8"/>
    </row>
    <row r="676" spans="1:10" x14ac:dyDescent="0.3">
      <c r="A676" s="9"/>
      <c r="B676" s="8"/>
      <c r="C676" s="10" t="str">
        <f>IFERROR(VLOOKUP(B676,Activos!$A$5:$C$104,3,FALSE),"")</f>
        <v/>
      </c>
      <c r="D676" s="8"/>
      <c r="E676" s="19"/>
      <c r="F676" s="20"/>
      <c r="G676" s="17"/>
      <c r="H676" s="17"/>
      <c r="I676" s="18" t="str">
        <f t="shared" si="10"/>
        <v/>
      </c>
      <c r="J676" s="8"/>
    </row>
    <row r="677" spans="1:10" x14ac:dyDescent="0.3">
      <c r="A677" s="9"/>
      <c r="B677" s="8"/>
      <c r="C677" s="10" t="str">
        <f>IFERROR(VLOOKUP(B677,Activos!$A$5:$C$104,3,FALSE),"")</f>
        <v/>
      </c>
      <c r="D677" s="8"/>
      <c r="E677" s="19"/>
      <c r="F677" s="20"/>
      <c r="G677" s="17"/>
      <c r="H677" s="17"/>
      <c r="I677" s="18" t="str">
        <f t="shared" si="10"/>
        <v/>
      </c>
      <c r="J677" s="8"/>
    </row>
    <row r="678" spans="1:10" x14ac:dyDescent="0.3">
      <c r="A678" s="9"/>
      <c r="B678" s="8"/>
      <c r="C678" s="10" t="str">
        <f>IFERROR(VLOOKUP(B678,Activos!$A$5:$C$104,3,FALSE),"")</f>
        <v/>
      </c>
      <c r="D678" s="8"/>
      <c r="E678" s="19"/>
      <c r="F678" s="20"/>
      <c r="G678" s="17"/>
      <c r="H678" s="17"/>
      <c r="I678" s="18" t="str">
        <f t="shared" si="10"/>
        <v/>
      </c>
      <c r="J678" s="8"/>
    </row>
    <row r="679" spans="1:10" x14ac:dyDescent="0.3">
      <c r="A679" s="9"/>
      <c r="B679" s="8"/>
      <c r="C679" s="10" t="str">
        <f>IFERROR(VLOOKUP(B679,Activos!$A$5:$C$104,3,FALSE),"")</f>
        <v/>
      </c>
      <c r="D679" s="8"/>
      <c r="E679" s="19"/>
      <c r="F679" s="20"/>
      <c r="G679" s="17"/>
      <c r="H679" s="17"/>
      <c r="I679" s="18" t="str">
        <f t="shared" si="10"/>
        <v/>
      </c>
      <c r="J679" s="8"/>
    </row>
    <row r="680" spans="1:10" x14ac:dyDescent="0.3">
      <c r="A680" s="9"/>
      <c r="B680" s="8"/>
      <c r="C680" s="10" t="str">
        <f>IFERROR(VLOOKUP(B680,Activos!$A$5:$C$104,3,FALSE),"")</f>
        <v/>
      </c>
      <c r="D680" s="8"/>
      <c r="E680" s="19"/>
      <c r="F680" s="20"/>
      <c r="G680" s="17"/>
      <c r="H680" s="17"/>
      <c r="I680" s="18" t="str">
        <f t="shared" si="10"/>
        <v/>
      </c>
      <c r="J680" s="8"/>
    </row>
    <row r="681" spans="1:10" x14ac:dyDescent="0.3">
      <c r="A681" s="9"/>
      <c r="B681" s="8"/>
      <c r="C681" s="10" t="str">
        <f>IFERROR(VLOOKUP(B681,Activos!$A$5:$C$104,3,FALSE),"")</f>
        <v/>
      </c>
      <c r="D681" s="8"/>
      <c r="E681" s="19"/>
      <c r="F681" s="20"/>
      <c r="G681" s="17"/>
      <c r="H681" s="17"/>
      <c r="I681" s="18" t="str">
        <f t="shared" si="10"/>
        <v/>
      </c>
      <c r="J681" s="8"/>
    </row>
    <row r="682" spans="1:10" x14ac:dyDescent="0.3">
      <c r="A682" s="9"/>
      <c r="B682" s="8"/>
      <c r="C682" s="10" t="str">
        <f>IFERROR(VLOOKUP(B682,Activos!$A$5:$C$104,3,FALSE),"")</f>
        <v/>
      </c>
      <c r="D682" s="8"/>
      <c r="E682" s="19"/>
      <c r="F682" s="20"/>
      <c r="G682" s="17"/>
      <c r="H682" s="17"/>
      <c r="I682" s="18" t="str">
        <f t="shared" si="10"/>
        <v/>
      </c>
      <c r="J682" s="8"/>
    </row>
    <row r="683" spans="1:10" x14ac:dyDescent="0.3">
      <c r="A683" s="9"/>
      <c r="B683" s="8"/>
      <c r="C683" s="10" t="str">
        <f>IFERROR(VLOOKUP(B683,Activos!$A$5:$C$104,3,FALSE),"")</f>
        <v/>
      </c>
      <c r="D683" s="8"/>
      <c r="E683" s="19"/>
      <c r="F683" s="20"/>
      <c r="G683" s="17"/>
      <c r="H683" s="17"/>
      <c r="I683" s="18" t="str">
        <f t="shared" si="10"/>
        <v/>
      </c>
      <c r="J683" s="8"/>
    </row>
    <row r="684" spans="1:10" x14ac:dyDescent="0.3">
      <c r="A684" s="9"/>
      <c r="B684" s="8"/>
      <c r="C684" s="10" t="str">
        <f>IFERROR(VLOOKUP(B684,Activos!$A$5:$C$104,3,FALSE),"")</f>
        <v/>
      </c>
      <c r="D684" s="8"/>
      <c r="E684" s="19"/>
      <c r="F684" s="20"/>
      <c r="G684" s="17"/>
      <c r="H684" s="17"/>
      <c r="I684" s="18" t="str">
        <f t="shared" si="10"/>
        <v/>
      </c>
      <c r="J684" s="8"/>
    </row>
    <row r="685" spans="1:10" x14ac:dyDescent="0.3">
      <c r="A685" s="9"/>
      <c r="B685" s="8"/>
      <c r="C685" s="10" t="str">
        <f>IFERROR(VLOOKUP(B685,Activos!$A$5:$C$104,3,FALSE),"")</f>
        <v/>
      </c>
      <c r="D685" s="8"/>
      <c r="E685" s="19"/>
      <c r="F685" s="20"/>
      <c r="G685" s="17"/>
      <c r="H685" s="17"/>
      <c r="I685" s="18" t="str">
        <f t="shared" si="10"/>
        <v/>
      </c>
      <c r="J685" s="8"/>
    </row>
    <row r="686" spans="1:10" x14ac:dyDescent="0.3">
      <c r="A686" s="9"/>
      <c r="B686" s="8"/>
      <c r="C686" s="10" t="str">
        <f>IFERROR(VLOOKUP(B686,Activos!$A$5:$C$104,3,FALSE),"")</f>
        <v/>
      </c>
      <c r="D686" s="8"/>
      <c r="E686" s="19"/>
      <c r="F686" s="20"/>
      <c r="G686" s="17"/>
      <c r="H686" s="17"/>
      <c r="I686" s="18" t="str">
        <f t="shared" si="10"/>
        <v/>
      </c>
      <c r="J686" s="8"/>
    </row>
    <row r="687" spans="1:10" x14ac:dyDescent="0.3">
      <c r="A687" s="9"/>
      <c r="B687" s="8"/>
      <c r="C687" s="10" t="str">
        <f>IFERROR(VLOOKUP(B687,Activos!$A$5:$C$104,3,FALSE),"")</f>
        <v/>
      </c>
      <c r="D687" s="8"/>
      <c r="E687" s="19"/>
      <c r="F687" s="20"/>
      <c r="G687" s="17"/>
      <c r="H687" s="17"/>
      <c r="I687" s="18" t="str">
        <f t="shared" si="10"/>
        <v/>
      </c>
      <c r="J687" s="8"/>
    </row>
    <row r="688" spans="1:10" x14ac:dyDescent="0.3">
      <c r="A688" s="9"/>
      <c r="B688" s="8"/>
      <c r="C688" s="10" t="str">
        <f>IFERROR(VLOOKUP(B688,Activos!$A$5:$C$104,3,FALSE),"")</f>
        <v/>
      </c>
      <c r="D688" s="8"/>
      <c r="E688" s="19"/>
      <c r="F688" s="20"/>
      <c r="G688" s="17"/>
      <c r="H688" s="17"/>
      <c r="I688" s="18" t="str">
        <f t="shared" si="10"/>
        <v/>
      </c>
      <c r="J688" s="8"/>
    </row>
    <row r="689" spans="1:10" x14ac:dyDescent="0.3">
      <c r="A689" s="9"/>
      <c r="B689" s="8"/>
      <c r="C689" s="10" t="str">
        <f>IFERROR(VLOOKUP(B689,Activos!$A$5:$C$104,3,FALSE),"")</f>
        <v/>
      </c>
      <c r="D689" s="8"/>
      <c r="E689" s="19"/>
      <c r="F689" s="20"/>
      <c r="G689" s="17"/>
      <c r="H689" s="17"/>
      <c r="I689" s="18" t="str">
        <f t="shared" si="10"/>
        <v/>
      </c>
      <c r="J689" s="8"/>
    </row>
    <row r="690" spans="1:10" x14ac:dyDescent="0.3">
      <c r="A690" s="9"/>
      <c r="B690" s="8"/>
      <c r="C690" s="10" t="str">
        <f>IFERROR(VLOOKUP(B690,Activos!$A$5:$C$104,3,FALSE),"")</f>
        <v/>
      </c>
      <c r="D690" s="8"/>
      <c r="E690" s="19"/>
      <c r="F690" s="20"/>
      <c r="G690" s="17"/>
      <c r="H690" s="17"/>
      <c r="I690" s="18" t="str">
        <f t="shared" si="10"/>
        <v/>
      </c>
      <c r="J690" s="8"/>
    </row>
    <row r="691" spans="1:10" x14ac:dyDescent="0.3">
      <c r="A691" s="9"/>
      <c r="B691" s="8"/>
      <c r="C691" s="10" t="str">
        <f>IFERROR(VLOOKUP(B691,Activos!$A$5:$C$104,3,FALSE),"")</f>
        <v/>
      </c>
      <c r="D691" s="8"/>
      <c r="E691" s="19"/>
      <c r="F691" s="20"/>
      <c r="G691" s="17"/>
      <c r="H691" s="17"/>
      <c r="I691" s="18" t="str">
        <f t="shared" si="10"/>
        <v/>
      </c>
      <c r="J691" s="8"/>
    </row>
    <row r="692" spans="1:10" x14ac:dyDescent="0.3">
      <c r="A692" s="9"/>
      <c r="B692" s="8"/>
      <c r="C692" s="10" t="str">
        <f>IFERROR(VLOOKUP(B692,Activos!$A$5:$C$104,3,FALSE),"")</f>
        <v/>
      </c>
      <c r="D692" s="8"/>
      <c r="E692" s="19"/>
      <c r="F692" s="20"/>
      <c r="G692" s="17"/>
      <c r="H692" s="17"/>
      <c r="I692" s="18" t="str">
        <f t="shared" si="10"/>
        <v/>
      </c>
      <c r="J692" s="8"/>
    </row>
    <row r="693" spans="1:10" x14ac:dyDescent="0.3">
      <c r="A693" s="9"/>
      <c r="B693" s="8"/>
      <c r="C693" s="10" t="str">
        <f>IFERROR(VLOOKUP(B693,Activos!$A$5:$C$104,3,FALSE),"")</f>
        <v/>
      </c>
      <c r="D693" s="8"/>
      <c r="E693" s="19"/>
      <c r="F693" s="20"/>
      <c r="G693" s="17"/>
      <c r="H693" s="17"/>
      <c r="I693" s="18" t="str">
        <f t="shared" si="10"/>
        <v/>
      </c>
      <c r="J693" s="8"/>
    </row>
    <row r="694" spans="1:10" x14ac:dyDescent="0.3">
      <c r="A694" s="9"/>
      <c r="B694" s="8"/>
      <c r="C694" s="10" t="str">
        <f>IFERROR(VLOOKUP(B694,Activos!$A$5:$C$104,3,FALSE),"")</f>
        <v/>
      </c>
      <c r="D694" s="8"/>
      <c r="E694" s="19"/>
      <c r="F694" s="20"/>
      <c r="G694" s="17"/>
      <c r="H694" s="17"/>
      <c r="I694" s="18" t="str">
        <f t="shared" si="10"/>
        <v/>
      </c>
      <c r="J694" s="8"/>
    </row>
    <row r="695" spans="1:10" x14ac:dyDescent="0.3">
      <c r="A695" s="9"/>
      <c r="B695" s="8"/>
      <c r="C695" s="10" t="str">
        <f>IFERROR(VLOOKUP(B695,Activos!$A$5:$C$104,3,FALSE),"")</f>
        <v/>
      </c>
      <c r="D695" s="8"/>
      <c r="E695" s="19"/>
      <c r="F695" s="20"/>
      <c r="G695" s="17"/>
      <c r="H695" s="17"/>
      <c r="I695" s="18" t="str">
        <f t="shared" si="10"/>
        <v/>
      </c>
      <c r="J695" s="8"/>
    </row>
    <row r="696" spans="1:10" x14ac:dyDescent="0.3">
      <c r="A696" s="9"/>
      <c r="B696" s="8"/>
      <c r="C696" s="10" t="str">
        <f>IFERROR(VLOOKUP(B696,Activos!$A$5:$C$104,3,FALSE),"")</f>
        <v/>
      </c>
      <c r="D696" s="8"/>
      <c r="E696" s="19"/>
      <c r="F696" s="20"/>
      <c r="G696" s="17"/>
      <c r="H696" s="17"/>
      <c r="I696" s="18" t="str">
        <f t="shared" si="10"/>
        <v/>
      </c>
      <c r="J696" s="8"/>
    </row>
    <row r="697" spans="1:10" x14ac:dyDescent="0.3">
      <c r="A697" s="9"/>
      <c r="B697" s="8"/>
      <c r="C697" s="10" t="str">
        <f>IFERROR(VLOOKUP(B697,Activos!$A$5:$C$104,3,FALSE),"")</f>
        <v/>
      </c>
      <c r="D697" s="8"/>
      <c r="E697" s="19"/>
      <c r="F697" s="20"/>
      <c r="G697" s="17"/>
      <c r="H697" s="17"/>
      <c r="I697" s="18" t="str">
        <f t="shared" si="10"/>
        <v/>
      </c>
      <c r="J697" s="8"/>
    </row>
    <row r="698" spans="1:10" x14ac:dyDescent="0.3">
      <c r="A698" s="9"/>
      <c r="B698" s="8"/>
      <c r="C698" s="10" t="str">
        <f>IFERROR(VLOOKUP(B698,Activos!$A$5:$C$104,3,FALSE),"")</f>
        <v/>
      </c>
      <c r="D698" s="8"/>
      <c r="E698" s="19"/>
      <c r="F698" s="20"/>
      <c r="G698" s="17"/>
      <c r="H698" s="17"/>
      <c r="I698" s="18" t="str">
        <f t="shared" si="10"/>
        <v/>
      </c>
      <c r="J698" s="8"/>
    </row>
    <row r="699" spans="1:10" x14ac:dyDescent="0.3">
      <c r="A699" s="9"/>
      <c r="B699" s="8"/>
      <c r="C699" s="10" t="str">
        <f>IFERROR(VLOOKUP(B699,Activos!$A$5:$C$104,3,FALSE),"")</f>
        <v/>
      </c>
      <c r="D699" s="8"/>
      <c r="E699" s="19"/>
      <c r="F699" s="20"/>
      <c r="G699" s="17"/>
      <c r="H699" s="17"/>
      <c r="I699" s="18" t="str">
        <f t="shared" si="10"/>
        <v/>
      </c>
      <c r="J699" s="8"/>
    </row>
    <row r="700" spans="1:10" x14ac:dyDescent="0.3">
      <c r="A700" s="9"/>
      <c r="B700" s="8"/>
      <c r="C700" s="10" t="str">
        <f>IFERROR(VLOOKUP(B700,Activos!$A$5:$C$104,3,FALSE),"")</f>
        <v/>
      </c>
      <c r="D700" s="8"/>
      <c r="E700" s="19"/>
      <c r="F700" s="20"/>
      <c r="G700" s="17"/>
      <c r="H700" s="17"/>
      <c r="I700" s="18" t="str">
        <f t="shared" si="10"/>
        <v/>
      </c>
      <c r="J700" s="8"/>
    </row>
    <row r="701" spans="1:10" x14ac:dyDescent="0.3">
      <c r="A701" s="9"/>
      <c r="B701" s="8"/>
      <c r="C701" s="10" t="str">
        <f>IFERROR(VLOOKUP(B701,Activos!$A$5:$C$104,3,FALSE),"")</f>
        <v/>
      </c>
      <c r="D701" s="8"/>
      <c r="E701" s="19"/>
      <c r="F701" s="20"/>
      <c r="G701" s="17"/>
      <c r="H701" s="17"/>
      <c r="I701" s="18" t="str">
        <f t="shared" si="10"/>
        <v/>
      </c>
      <c r="J701" s="8"/>
    </row>
    <row r="702" spans="1:10" x14ac:dyDescent="0.3">
      <c r="A702" s="9"/>
      <c r="B702" s="8"/>
      <c r="C702" s="10" t="str">
        <f>IFERROR(VLOOKUP(B702,Activos!$A$5:$C$104,3,FALSE),"")</f>
        <v/>
      </c>
      <c r="D702" s="8"/>
      <c r="E702" s="19"/>
      <c r="F702" s="20"/>
      <c r="G702" s="17"/>
      <c r="H702" s="17"/>
      <c r="I702" s="18" t="str">
        <f t="shared" si="10"/>
        <v/>
      </c>
      <c r="J702" s="8"/>
    </row>
    <row r="703" spans="1:10" x14ac:dyDescent="0.3">
      <c r="A703" s="9"/>
      <c r="B703" s="8"/>
      <c r="C703" s="10" t="str">
        <f>IFERROR(VLOOKUP(B703,Activos!$A$5:$C$104,3,FALSE),"")</f>
        <v/>
      </c>
      <c r="D703" s="8"/>
      <c r="E703" s="19"/>
      <c r="F703" s="20"/>
      <c r="G703" s="17"/>
      <c r="H703" s="17"/>
      <c r="I703" s="18" t="str">
        <f t="shared" si="10"/>
        <v/>
      </c>
      <c r="J703" s="8"/>
    </row>
    <row r="704" spans="1:10" x14ac:dyDescent="0.3">
      <c r="A704" s="9"/>
      <c r="B704" s="8"/>
      <c r="C704" s="10" t="str">
        <f>IFERROR(VLOOKUP(B704,Activos!$A$5:$C$104,3,FALSE),"")</f>
        <v/>
      </c>
      <c r="D704" s="8"/>
      <c r="E704" s="19"/>
      <c r="F704" s="20"/>
      <c r="G704" s="17"/>
      <c r="H704" s="17"/>
      <c r="I704" s="18" t="str">
        <f t="shared" si="10"/>
        <v/>
      </c>
      <c r="J704" s="8"/>
    </row>
    <row r="705" spans="1:10" x14ac:dyDescent="0.3">
      <c r="A705" s="9"/>
      <c r="B705" s="8"/>
      <c r="C705" s="10" t="str">
        <f>IFERROR(VLOOKUP(B705,Activos!$A$5:$C$104,3,FALSE),"")</f>
        <v/>
      </c>
      <c r="D705" s="8"/>
      <c r="E705" s="19"/>
      <c r="F705" s="20"/>
      <c r="G705" s="17"/>
      <c r="H705" s="17"/>
      <c r="I705" s="18" t="str">
        <f t="shared" si="10"/>
        <v/>
      </c>
      <c r="J705" s="8"/>
    </row>
    <row r="706" spans="1:10" x14ac:dyDescent="0.3">
      <c r="A706" s="9"/>
      <c r="B706" s="8"/>
      <c r="C706" s="10" t="str">
        <f>IFERROR(VLOOKUP(B706,Activos!$A$5:$C$104,3,FALSE),"")</f>
        <v/>
      </c>
      <c r="D706" s="8"/>
      <c r="E706" s="19"/>
      <c r="F706" s="20"/>
      <c r="G706" s="17"/>
      <c r="H706" s="17"/>
      <c r="I706" s="18" t="str">
        <f t="shared" si="10"/>
        <v/>
      </c>
      <c r="J706" s="8"/>
    </row>
    <row r="707" spans="1:10" x14ac:dyDescent="0.3">
      <c r="A707" s="9"/>
      <c r="B707" s="8"/>
      <c r="C707" s="10" t="str">
        <f>IFERROR(VLOOKUP(B707,Activos!$A$5:$C$104,3,FALSE),"")</f>
        <v/>
      </c>
      <c r="D707" s="8"/>
      <c r="E707" s="19"/>
      <c r="F707" s="20"/>
      <c r="G707" s="17"/>
      <c r="H707" s="17"/>
      <c r="I707" s="18" t="str">
        <f t="shared" si="10"/>
        <v/>
      </c>
      <c r="J707" s="8"/>
    </row>
    <row r="708" spans="1:10" x14ac:dyDescent="0.3">
      <c r="A708" s="9"/>
      <c r="B708" s="8"/>
      <c r="C708" s="10" t="str">
        <f>IFERROR(VLOOKUP(B708,Activos!$A$5:$C$104,3,FALSE),"")</f>
        <v/>
      </c>
      <c r="D708" s="8"/>
      <c r="E708" s="19"/>
      <c r="F708" s="20"/>
      <c r="G708" s="17"/>
      <c r="H708" s="17"/>
      <c r="I708" s="18" t="str">
        <f t="shared" si="10"/>
        <v/>
      </c>
      <c r="J708" s="8"/>
    </row>
    <row r="709" spans="1:10" x14ac:dyDescent="0.3">
      <c r="A709" s="9"/>
      <c r="B709" s="8"/>
      <c r="C709" s="10" t="str">
        <f>IFERROR(VLOOKUP(B709,Activos!$A$5:$C$104,3,FALSE),"")</f>
        <v/>
      </c>
      <c r="D709" s="8"/>
      <c r="E709" s="19"/>
      <c r="F709" s="20"/>
      <c r="G709" s="17"/>
      <c r="H709" s="17"/>
      <c r="I709" s="18" t="str">
        <f t="shared" ref="I709:I772" si="11">IF(OR(D709="",G709=""),"",IF(D709="COMPRA",-G709-IF(H709="",0,H709),IF(D709="VENTA",G709-IF(H709="",0,H709),"")))</f>
        <v/>
      </c>
      <c r="J709" s="8"/>
    </row>
    <row r="710" spans="1:10" x14ac:dyDescent="0.3">
      <c r="A710" s="9"/>
      <c r="B710" s="8"/>
      <c r="C710" s="10" t="str">
        <f>IFERROR(VLOOKUP(B710,Activos!$A$5:$C$104,3,FALSE),"")</f>
        <v/>
      </c>
      <c r="D710" s="8"/>
      <c r="E710" s="19"/>
      <c r="F710" s="20"/>
      <c r="G710" s="17"/>
      <c r="H710" s="17"/>
      <c r="I710" s="18" t="str">
        <f t="shared" si="11"/>
        <v/>
      </c>
      <c r="J710" s="8"/>
    </row>
    <row r="711" spans="1:10" x14ac:dyDescent="0.3">
      <c r="A711" s="9"/>
      <c r="B711" s="8"/>
      <c r="C711" s="10" t="str">
        <f>IFERROR(VLOOKUP(B711,Activos!$A$5:$C$104,3,FALSE),"")</f>
        <v/>
      </c>
      <c r="D711" s="8"/>
      <c r="E711" s="19"/>
      <c r="F711" s="20"/>
      <c r="G711" s="17"/>
      <c r="H711" s="17"/>
      <c r="I711" s="18" t="str">
        <f t="shared" si="11"/>
        <v/>
      </c>
      <c r="J711" s="8"/>
    </row>
    <row r="712" spans="1:10" x14ac:dyDescent="0.3">
      <c r="A712" s="9"/>
      <c r="B712" s="8"/>
      <c r="C712" s="10" t="str">
        <f>IFERROR(VLOOKUP(B712,Activos!$A$5:$C$104,3,FALSE),"")</f>
        <v/>
      </c>
      <c r="D712" s="8"/>
      <c r="E712" s="19"/>
      <c r="F712" s="20"/>
      <c r="G712" s="17"/>
      <c r="H712" s="17"/>
      <c r="I712" s="18" t="str">
        <f t="shared" si="11"/>
        <v/>
      </c>
      <c r="J712" s="8"/>
    </row>
    <row r="713" spans="1:10" x14ac:dyDescent="0.3">
      <c r="A713" s="9"/>
      <c r="B713" s="8"/>
      <c r="C713" s="10" t="str">
        <f>IFERROR(VLOOKUP(B713,Activos!$A$5:$C$104,3,FALSE),"")</f>
        <v/>
      </c>
      <c r="D713" s="8"/>
      <c r="E713" s="19"/>
      <c r="F713" s="20"/>
      <c r="G713" s="17"/>
      <c r="H713" s="17"/>
      <c r="I713" s="18" t="str">
        <f t="shared" si="11"/>
        <v/>
      </c>
      <c r="J713" s="8"/>
    </row>
    <row r="714" spans="1:10" x14ac:dyDescent="0.3">
      <c r="A714" s="9"/>
      <c r="B714" s="8"/>
      <c r="C714" s="10" t="str">
        <f>IFERROR(VLOOKUP(B714,Activos!$A$5:$C$104,3,FALSE),"")</f>
        <v/>
      </c>
      <c r="D714" s="8"/>
      <c r="E714" s="19"/>
      <c r="F714" s="20"/>
      <c r="G714" s="17"/>
      <c r="H714" s="17"/>
      <c r="I714" s="18" t="str">
        <f t="shared" si="11"/>
        <v/>
      </c>
      <c r="J714" s="8"/>
    </row>
    <row r="715" spans="1:10" x14ac:dyDescent="0.3">
      <c r="A715" s="9"/>
      <c r="B715" s="8"/>
      <c r="C715" s="10" t="str">
        <f>IFERROR(VLOOKUP(B715,Activos!$A$5:$C$104,3,FALSE),"")</f>
        <v/>
      </c>
      <c r="D715" s="8"/>
      <c r="E715" s="19"/>
      <c r="F715" s="20"/>
      <c r="G715" s="17"/>
      <c r="H715" s="17"/>
      <c r="I715" s="18" t="str">
        <f t="shared" si="11"/>
        <v/>
      </c>
      <c r="J715" s="8"/>
    </row>
    <row r="716" spans="1:10" x14ac:dyDescent="0.3">
      <c r="A716" s="9"/>
      <c r="B716" s="8"/>
      <c r="C716" s="10" t="str">
        <f>IFERROR(VLOOKUP(B716,Activos!$A$5:$C$104,3,FALSE),"")</f>
        <v/>
      </c>
      <c r="D716" s="8"/>
      <c r="E716" s="19"/>
      <c r="F716" s="20"/>
      <c r="G716" s="17"/>
      <c r="H716" s="17"/>
      <c r="I716" s="18" t="str">
        <f t="shared" si="11"/>
        <v/>
      </c>
      <c r="J716" s="8"/>
    </row>
    <row r="717" spans="1:10" x14ac:dyDescent="0.3">
      <c r="A717" s="9"/>
      <c r="B717" s="8"/>
      <c r="C717" s="10" t="str">
        <f>IFERROR(VLOOKUP(B717,Activos!$A$5:$C$104,3,FALSE),"")</f>
        <v/>
      </c>
      <c r="D717" s="8"/>
      <c r="E717" s="19"/>
      <c r="F717" s="20"/>
      <c r="G717" s="17"/>
      <c r="H717" s="17"/>
      <c r="I717" s="18" t="str">
        <f t="shared" si="11"/>
        <v/>
      </c>
      <c r="J717" s="8"/>
    </row>
    <row r="718" spans="1:10" x14ac:dyDescent="0.3">
      <c r="A718" s="9"/>
      <c r="B718" s="8"/>
      <c r="C718" s="10" t="str">
        <f>IFERROR(VLOOKUP(B718,Activos!$A$5:$C$104,3,FALSE),"")</f>
        <v/>
      </c>
      <c r="D718" s="8"/>
      <c r="E718" s="19"/>
      <c r="F718" s="20"/>
      <c r="G718" s="17"/>
      <c r="H718" s="17"/>
      <c r="I718" s="18" t="str">
        <f t="shared" si="11"/>
        <v/>
      </c>
      <c r="J718" s="8"/>
    </row>
    <row r="719" spans="1:10" x14ac:dyDescent="0.3">
      <c r="A719" s="9"/>
      <c r="B719" s="8"/>
      <c r="C719" s="10" t="str">
        <f>IFERROR(VLOOKUP(B719,Activos!$A$5:$C$104,3,FALSE),"")</f>
        <v/>
      </c>
      <c r="D719" s="8"/>
      <c r="E719" s="19"/>
      <c r="F719" s="20"/>
      <c r="G719" s="17"/>
      <c r="H719" s="17"/>
      <c r="I719" s="18" t="str">
        <f t="shared" si="11"/>
        <v/>
      </c>
      <c r="J719" s="8"/>
    </row>
    <row r="720" spans="1:10" x14ac:dyDescent="0.3">
      <c r="A720" s="9"/>
      <c r="B720" s="8"/>
      <c r="C720" s="10" t="str">
        <f>IFERROR(VLOOKUP(B720,Activos!$A$5:$C$104,3,FALSE),"")</f>
        <v/>
      </c>
      <c r="D720" s="8"/>
      <c r="E720" s="19"/>
      <c r="F720" s="20"/>
      <c r="G720" s="17"/>
      <c r="H720" s="17"/>
      <c r="I720" s="18" t="str">
        <f t="shared" si="11"/>
        <v/>
      </c>
      <c r="J720" s="8"/>
    </row>
    <row r="721" spans="1:10" x14ac:dyDescent="0.3">
      <c r="A721" s="9"/>
      <c r="B721" s="8"/>
      <c r="C721" s="10" t="str">
        <f>IFERROR(VLOOKUP(B721,Activos!$A$5:$C$104,3,FALSE),"")</f>
        <v/>
      </c>
      <c r="D721" s="8"/>
      <c r="E721" s="19"/>
      <c r="F721" s="20"/>
      <c r="G721" s="17"/>
      <c r="H721" s="17"/>
      <c r="I721" s="18" t="str">
        <f t="shared" si="11"/>
        <v/>
      </c>
      <c r="J721" s="8"/>
    </row>
    <row r="722" spans="1:10" x14ac:dyDescent="0.3">
      <c r="A722" s="9"/>
      <c r="B722" s="8"/>
      <c r="C722" s="10" t="str">
        <f>IFERROR(VLOOKUP(B722,Activos!$A$5:$C$104,3,FALSE),"")</f>
        <v/>
      </c>
      <c r="D722" s="8"/>
      <c r="E722" s="19"/>
      <c r="F722" s="20"/>
      <c r="G722" s="17"/>
      <c r="H722" s="17"/>
      <c r="I722" s="18" t="str">
        <f t="shared" si="11"/>
        <v/>
      </c>
      <c r="J722" s="8"/>
    </row>
    <row r="723" spans="1:10" x14ac:dyDescent="0.3">
      <c r="A723" s="9"/>
      <c r="B723" s="8"/>
      <c r="C723" s="10" t="str">
        <f>IFERROR(VLOOKUP(B723,Activos!$A$5:$C$104,3,FALSE),"")</f>
        <v/>
      </c>
      <c r="D723" s="8"/>
      <c r="E723" s="19"/>
      <c r="F723" s="20"/>
      <c r="G723" s="17"/>
      <c r="H723" s="17"/>
      <c r="I723" s="18" t="str">
        <f t="shared" si="11"/>
        <v/>
      </c>
      <c r="J723" s="8"/>
    </row>
    <row r="724" spans="1:10" x14ac:dyDescent="0.3">
      <c r="A724" s="9"/>
      <c r="B724" s="8"/>
      <c r="C724" s="10" t="str">
        <f>IFERROR(VLOOKUP(B724,Activos!$A$5:$C$104,3,FALSE),"")</f>
        <v/>
      </c>
      <c r="D724" s="8"/>
      <c r="E724" s="19"/>
      <c r="F724" s="20"/>
      <c r="G724" s="17"/>
      <c r="H724" s="17"/>
      <c r="I724" s="18" t="str">
        <f t="shared" si="11"/>
        <v/>
      </c>
      <c r="J724" s="8"/>
    </row>
    <row r="725" spans="1:10" x14ac:dyDescent="0.3">
      <c r="A725" s="9"/>
      <c r="B725" s="8"/>
      <c r="C725" s="10" t="str">
        <f>IFERROR(VLOOKUP(B725,Activos!$A$5:$C$104,3,FALSE),"")</f>
        <v/>
      </c>
      <c r="D725" s="8"/>
      <c r="E725" s="19"/>
      <c r="F725" s="20"/>
      <c r="G725" s="17"/>
      <c r="H725" s="17"/>
      <c r="I725" s="18" t="str">
        <f t="shared" si="11"/>
        <v/>
      </c>
      <c r="J725" s="8"/>
    </row>
    <row r="726" spans="1:10" x14ac:dyDescent="0.3">
      <c r="A726" s="9"/>
      <c r="B726" s="8"/>
      <c r="C726" s="10" t="str">
        <f>IFERROR(VLOOKUP(B726,Activos!$A$5:$C$104,3,FALSE),"")</f>
        <v/>
      </c>
      <c r="D726" s="8"/>
      <c r="E726" s="19"/>
      <c r="F726" s="20"/>
      <c r="G726" s="17"/>
      <c r="H726" s="17"/>
      <c r="I726" s="18" t="str">
        <f t="shared" si="11"/>
        <v/>
      </c>
      <c r="J726" s="8"/>
    </row>
    <row r="727" spans="1:10" x14ac:dyDescent="0.3">
      <c r="A727" s="9"/>
      <c r="B727" s="8"/>
      <c r="C727" s="10" t="str">
        <f>IFERROR(VLOOKUP(B727,Activos!$A$5:$C$104,3,FALSE),"")</f>
        <v/>
      </c>
      <c r="D727" s="8"/>
      <c r="E727" s="19"/>
      <c r="F727" s="20"/>
      <c r="G727" s="17"/>
      <c r="H727" s="17"/>
      <c r="I727" s="18" t="str">
        <f t="shared" si="11"/>
        <v/>
      </c>
      <c r="J727" s="8"/>
    </row>
    <row r="728" spans="1:10" x14ac:dyDescent="0.3">
      <c r="A728" s="9"/>
      <c r="B728" s="8"/>
      <c r="C728" s="10" t="str">
        <f>IFERROR(VLOOKUP(B728,Activos!$A$5:$C$104,3,FALSE),"")</f>
        <v/>
      </c>
      <c r="D728" s="8"/>
      <c r="E728" s="19"/>
      <c r="F728" s="20"/>
      <c r="G728" s="17"/>
      <c r="H728" s="17"/>
      <c r="I728" s="18" t="str">
        <f t="shared" si="11"/>
        <v/>
      </c>
      <c r="J728" s="8"/>
    </row>
    <row r="729" spans="1:10" x14ac:dyDescent="0.3">
      <c r="A729" s="9"/>
      <c r="B729" s="8"/>
      <c r="C729" s="10" t="str">
        <f>IFERROR(VLOOKUP(B729,Activos!$A$5:$C$104,3,FALSE),"")</f>
        <v/>
      </c>
      <c r="D729" s="8"/>
      <c r="E729" s="19"/>
      <c r="F729" s="20"/>
      <c r="G729" s="17"/>
      <c r="H729" s="17"/>
      <c r="I729" s="18" t="str">
        <f t="shared" si="11"/>
        <v/>
      </c>
      <c r="J729" s="8"/>
    </row>
    <row r="730" spans="1:10" x14ac:dyDescent="0.3">
      <c r="A730" s="9"/>
      <c r="B730" s="8"/>
      <c r="C730" s="10" t="str">
        <f>IFERROR(VLOOKUP(B730,Activos!$A$5:$C$104,3,FALSE),"")</f>
        <v/>
      </c>
      <c r="D730" s="8"/>
      <c r="E730" s="19"/>
      <c r="F730" s="20"/>
      <c r="G730" s="17"/>
      <c r="H730" s="17"/>
      <c r="I730" s="18" t="str">
        <f t="shared" si="11"/>
        <v/>
      </c>
      <c r="J730" s="8"/>
    </row>
    <row r="731" spans="1:10" x14ac:dyDescent="0.3">
      <c r="A731" s="9"/>
      <c r="B731" s="8"/>
      <c r="C731" s="10" t="str">
        <f>IFERROR(VLOOKUP(B731,Activos!$A$5:$C$104,3,FALSE),"")</f>
        <v/>
      </c>
      <c r="D731" s="8"/>
      <c r="E731" s="19"/>
      <c r="F731" s="20"/>
      <c r="G731" s="17"/>
      <c r="H731" s="17"/>
      <c r="I731" s="18" t="str">
        <f t="shared" si="11"/>
        <v/>
      </c>
      <c r="J731" s="8"/>
    </row>
    <row r="732" spans="1:10" x14ac:dyDescent="0.3">
      <c r="A732" s="9"/>
      <c r="B732" s="8"/>
      <c r="C732" s="10" t="str">
        <f>IFERROR(VLOOKUP(B732,Activos!$A$5:$C$104,3,FALSE),"")</f>
        <v/>
      </c>
      <c r="D732" s="8"/>
      <c r="E732" s="19"/>
      <c r="F732" s="20"/>
      <c r="G732" s="17"/>
      <c r="H732" s="17"/>
      <c r="I732" s="18" t="str">
        <f t="shared" si="11"/>
        <v/>
      </c>
      <c r="J732" s="8"/>
    </row>
    <row r="733" spans="1:10" x14ac:dyDescent="0.3">
      <c r="A733" s="9"/>
      <c r="B733" s="8"/>
      <c r="C733" s="10" t="str">
        <f>IFERROR(VLOOKUP(B733,Activos!$A$5:$C$104,3,FALSE),"")</f>
        <v/>
      </c>
      <c r="D733" s="8"/>
      <c r="E733" s="19"/>
      <c r="F733" s="20"/>
      <c r="G733" s="17"/>
      <c r="H733" s="17"/>
      <c r="I733" s="18" t="str">
        <f t="shared" si="11"/>
        <v/>
      </c>
      <c r="J733" s="8"/>
    </row>
    <row r="734" spans="1:10" x14ac:dyDescent="0.3">
      <c r="A734" s="9"/>
      <c r="B734" s="8"/>
      <c r="C734" s="10" t="str">
        <f>IFERROR(VLOOKUP(B734,Activos!$A$5:$C$104,3,FALSE),"")</f>
        <v/>
      </c>
      <c r="D734" s="8"/>
      <c r="E734" s="19"/>
      <c r="F734" s="20"/>
      <c r="G734" s="17"/>
      <c r="H734" s="17"/>
      <c r="I734" s="18" t="str">
        <f t="shared" si="11"/>
        <v/>
      </c>
      <c r="J734" s="8"/>
    </row>
    <row r="735" spans="1:10" x14ac:dyDescent="0.3">
      <c r="A735" s="9"/>
      <c r="B735" s="8"/>
      <c r="C735" s="10" t="str">
        <f>IFERROR(VLOOKUP(B735,Activos!$A$5:$C$104,3,FALSE),"")</f>
        <v/>
      </c>
      <c r="D735" s="8"/>
      <c r="E735" s="19"/>
      <c r="F735" s="20"/>
      <c r="G735" s="17"/>
      <c r="H735" s="17"/>
      <c r="I735" s="18" t="str">
        <f t="shared" si="11"/>
        <v/>
      </c>
      <c r="J735" s="8"/>
    </row>
    <row r="736" spans="1:10" x14ac:dyDescent="0.3">
      <c r="A736" s="9"/>
      <c r="B736" s="8"/>
      <c r="C736" s="10" t="str">
        <f>IFERROR(VLOOKUP(B736,Activos!$A$5:$C$104,3,FALSE),"")</f>
        <v/>
      </c>
      <c r="D736" s="8"/>
      <c r="E736" s="19"/>
      <c r="F736" s="20"/>
      <c r="G736" s="17"/>
      <c r="H736" s="17"/>
      <c r="I736" s="18" t="str">
        <f t="shared" si="11"/>
        <v/>
      </c>
      <c r="J736" s="8"/>
    </row>
    <row r="737" spans="1:10" x14ac:dyDescent="0.3">
      <c r="A737" s="9"/>
      <c r="B737" s="8"/>
      <c r="C737" s="10" t="str">
        <f>IFERROR(VLOOKUP(B737,Activos!$A$5:$C$104,3,FALSE),"")</f>
        <v/>
      </c>
      <c r="D737" s="8"/>
      <c r="E737" s="19"/>
      <c r="F737" s="20"/>
      <c r="G737" s="17"/>
      <c r="H737" s="17"/>
      <c r="I737" s="18" t="str">
        <f t="shared" si="11"/>
        <v/>
      </c>
      <c r="J737" s="8"/>
    </row>
    <row r="738" spans="1:10" x14ac:dyDescent="0.3">
      <c r="A738" s="9"/>
      <c r="B738" s="8"/>
      <c r="C738" s="10" t="str">
        <f>IFERROR(VLOOKUP(B738,Activos!$A$5:$C$104,3,FALSE),"")</f>
        <v/>
      </c>
      <c r="D738" s="8"/>
      <c r="E738" s="19"/>
      <c r="F738" s="20"/>
      <c r="G738" s="17"/>
      <c r="H738" s="17"/>
      <c r="I738" s="18" t="str">
        <f t="shared" si="11"/>
        <v/>
      </c>
      <c r="J738" s="8"/>
    </row>
    <row r="739" spans="1:10" x14ac:dyDescent="0.3">
      <c r="A739" s="9"/>
      <c r="B739" s="8"/>
      <c r="C739" s="10" t="str">
        <f>IFERROR(VLOOKUP(B739,Activos!$A$5:$C$104,3,FALSE),"")</f>
        <v/>
      </c>
      <c r="D739" s="8"/>
      <c r="E739" s="19"/>
      <c r="F739" s="20"/>
      <c r="G739" s="17"/>
      <c r="H739" s="17"/>
      <c r="I739" s="18" t="str">
        <f t="shared" si="11"/>
        <v/>
      </c>
      <c r="J739" s="8"/>
    </row>
    <row r="740" spans="1:10" x14ac:dyDescent="0.3">
      <c r="A740" s="9"/>
      <c r="B740" s="8"/>
      <c r="C740" s="10" t="str">
        <f>IFERROR(VLOOKUP(B740,Activos!$A$5:$C$104,3,FALSE),"")</f>
        <v/>
      </c>
      <c r="D740" s="8"/>
      <c r="E740" s="19"/>
      <c r="F740" s="20"/>
      <c r="G740" s="17"/>
      <c r="H740" s="17"/>
      <c r="I740" s="18" t="str">
        <f t="shared" si="11"/>
        <v/>
      </c>
      <c r="J740" s="8"/>
    </row>
    <row r="741" spans="1:10" x14ac:dyDescent="0.3">
      <c r="A741" s="9"/>
      <c r="B741" s="8"/>
      <c r="C741" s="10" t="str">
        <f>IFERROR(VLOOKUP(B741,Activos!$A$5:$C$104,3,FALSE),"")</f>
        <v/>
      </c>
      <c r="D741" s="8"/>
      <c r="E741" s="19"/>
      <c r="F741" s="20"/>
      <c r="G741" s="17"/>
      <c r="H741" s="17"/>
      <c r="I741" s="18" t="str">
        <f t="shared" si="11"/>
        <v/>
      </c>
      <c r="J741" s="8"/>
    </row>
    <row r="742" spans="1:10" x14ac:dyDescent="0.3">
      <c r="A742" s="9"/>
      <c r="B742" s="8"/>
      <c r="C742" s="10" t="str">
        <f>IFERROR(VLOOKUP(B742,Activos!$A$5:$C$104,3,FALSE),"")</f>
        <v/>
      </c>
      <c r="D742" s="8"/>
      <c r="E742" s="19"/>
      <c r="F742" s="20"/>
      <c r="G742" s="17"/>
      <c r="H742" s="17"/>
      <c r="I742" s="18" t="str">
        <f t="shared" si="11"/>
        <v/>
      </c>
      <c r="J742" s="8"/>
    </row>
    <row r="743" spans="1:10" x14ac:dyDescent="0.3">
      <c r="A743" s="9"/>
      <c r="B743" s="8"/>
      <c r="C743" s="10" t="str">
        <f>IFERROR(VLOOKUP(B743,Activos!$A$5:$C$104,3,FALSE),"")</f>
        <v/>
      </c>
      <c r="D743" s="8"/>
      <c r="E743" s="19"/>
      <c r="F743" s="20"/>
      <c r="G743" s="17"/>
      <c r="H743" s="17"/>
      <c r="I743" s="18" t="str">
        <f t="shared" si="11"/>
        <v/>
      </c>
      <c r="J743" s="8"/>
    </row>
    <row r="744" spans="1:10" x14ac:dyDescent="0.3">
      <c r="A744" s="9"/>
      <c r="B744" s="8"/>
      <c r="C744" s="10" t="str">
        <f>IFERROR(VLOOKUP(B744,Activos!$A$5:$C$104,3,FALSE),"")</f>
        <v/>
      </c>
      <c r="D744" s="8"/>
      <c r="E744" s="19"/>
      <c r="F744" s="20"/>
      <c r="G744" s="17"/>
      <c r="H744" s="17"/>
      <c r="I744" s="18" t="str">
        <f t="shared" si="11"/>
        <v/>
      </c>
      <c r="J744" s="8"/>
    </row>
    <row r="745" spans="1:10" x14ac:dyDescent="0.3">
      <c r="A745" s="9"/>
      <c r="B745" s="8"/>
      <c r="C745" s="10" t="str">
        <f>IFERROR(VLOOKUP(B745,Activos!$A$5:$C$104,3,FALSE),"")</f>
        <v/>
      </c>
      <c r="D745" s="8"/>
      <c r="E745" s="19"/>
      <c r="F745" s="20"/>
      <c r="G745" s="17"/>
      <c r="H745" s="17"/>
      <c r="I745" s="18" t="str">
        <f t="shared" si="11"/>
        <v/>
      </c>
      <c r="J745" s="8"/>
    </row>
    <row r="746" spans="1:10" x14ac:dyDescent="0.3">
      <c r="A746" s="9"/>
      <c r="B746" s="8"/>
      <c r="C746" s="10" t="str">
        <f>IFERROR(VLOOKUP(B746,Activos!$A$5:$C$104,3,FALSE),"")</f>
        <v/>
      </c>
      <c r="D746" s="8"/>
      <c r="E746" s="19"/>
      <c r="F746" s="20"/>
      <c r="G746" s="17"/>
      <c r="H746" s="17"/>
      <c r="I746" s="18" t="str">
        <f t="shared" si="11"/>
        <v/>
      </c>
      <c r="J746" s="8"/>
    </row>
    <row r="747" spans="1:10" x14ac:dyDescent="0.3">
      <c r="A747" s="9"/>
      <c r="B747" s="8"/>
      <c r="C747" s="10" t="str">
        <f>IFERROR(VLOOKUP(B747,Activos!$A$5:$C$104,3,FALSE),"")</f>
        <v/>
      </c>
      <c r="D747" s="8"/>
      <c r="E747" s="19"/>
      <c r="F747" s="20"/>
      <c r="G747" s="17"/>
      <c r="H747" s="17"/>
      <c r="I747" s="18" t="str">
        <f t="shared" si="11"/>
        <v/>
      </c>
      <c r="J747" s="8"/>
    </row>
    <row r="748" spans="1:10" x14ac:dyDescent="0.3">
      <c r="A748" s="9"/>
      <c r="B748" s="8"/>
      <c r="C748" s="10" t="str">
        <f>IFERROR(VLOOKUP(B748,Activos!$A$5:$C$104,3,FALSE),"")</f>
        <v/>
      </c>
      <c r="D748" s="8"/>
      <c r="E748" s="19"/>
      <c r="F748" s="20"/>
      <c r="G748" s="17"/>
      <c r="H748" s="17"/>
      <c r="I748" s="18" t="str">
        <f t="shared" si="11"/>
        <v/>
      </c>
      <c r="J748" s="8"/>
    </row>
    <row r="749" spans="1:10" x14ac:dyDescent="0.3">
      <c r="A749" s="9"/>
      <c r="B749" s="8"/>
      <c r="C749" s="10" t="str">
        <f>IFERROR(VLOOKUP(B749,Activos!$A$5:$C$104,3,FALSE),"")</f>
        <v/>
      </c>
      <c r="D749" s="8"/>
      <c r="E749" s="19"/>
      <c r="F749" s="20"/>
      <c r="G749" s="17"/>
      <c r="H749" s="17"/>
      <c r="I749" s="18" t="str">
        <f t="shared" si="11"/>
        <v/>
      </c>
      <c r="J749" s="8"/>
    </row>
    <row r="750" spans="1:10" x14ac:dyDescent="0.3">
      <c r="A750" s="9"/>
      <c r="B750" s="8"/>
      <c r="C750" s="10" t="str">
        <f>IFERROR(VLOOKUP(B750,Activos!$A$5:$C$104,3,FALSE),"")</f>
        <v/>
      </c>
      <c r="D750" s="8"/>
      <c r="E750" s="19"/>
      <c r="F750" s="20"/>
      <c r="G750" s="17"/>
      <c r="H750" s="17"/>
      <c r="I750" s="18" t="str">
        <f t="shared" si="11"/>
        <v/>
      </c>
      <c r="J750" s="8"/>
    </row>
    <row r="751" spans="1:10" x14ac:dyDescent="0.3">
      <c r="A751" s="9"/>
      <c r="B751" s="8"/>
      <c r="C751" s="10" t="str">
        <f>IFERROR(VLOOKUP(B751,Activos!$A$5:$C$104,3,FALSE),"")</f>
        <v/>
      </c>
      <c r="D751" s="8"/>
      <c r="E751" s="19"/>
      <c r="F751" s="20"/>
      <c r="G751" s="17"/>
      <c r="H751" s="17"/>
      <c r="I751" s="18" t="str">
        <f t="shared" si="11"/>
        <v/>
      </c>
      <c r="J751" s="8"/>
    </row>
    <row r="752" spans="1:10" x14ac:dyDescent="0.3">
      <c r="A752" s="9"/>
      <c r="B752" s="8"/>
      <c r="C752" s="10" t="str">
        <f>IFERROR(VLOOKUP(B752,Activos!$A$5:$C$104,3,FALSE),"")</f>
        <v/>
      </c>
      <c r="D752" s="8"/>
      <c r="E752" s="19"/>
      <c r="F752" s="20"/>
      <c r="G752" s="17"/>
      <c r="H752" s="17"/>
      <c r="I752" s="18" t="str">
        <f t="shared" si="11"/>
        <v/>
      </c>
      <c r="J752" s="8"/>
    </row>
    <row r="753" spans="1:10" x14ac:dyDescent="0.3">
      <c r="A753" s="9"/>
      <c r="B753" s="8"/>
      <c r="C753" s="10" t="str">
        <f>IFERROR(VLOOKUP(B753,Activos!$A$5:$C$104,3,FALSE),"")</f>
        <v/>
      </c>
      <c r="D753" s="8"/>
      <c r="E753" s="19"/>
      <c r="F753" s="20"/>
      <c r="G753" s="17"/>
      <c r="H753" s="17"/>
      <c r="I753" s="18" t="str">
        <f t="shared" si="11"/>
        <v/>
      </c>
      <c r="J753" s="8"/>
    </row>
    <row r="754" spans="1:10" x14ac:dyDescent="0.3">
      <c r="A754" s="9"/>
      <c r="B754" s="8"/>
      <c r="C754" s="10" t="str">
        <f>IFERROR(VLOOKUP(B754,Activos!$A$5:$C$104,3,FALSE),"")</f>
        <v/>
      </c>
      <c r="D754" s="8"/>
      <c r="E754" s="19"/>
      <c r="F754" s="20"/>
      <c r="G754" s="17"/>
      <c r="H754" s="17"/>
      <c r="I754" s="18" t="str">
        <f t="shared" si="11"/>
        <v/>
      </c>
      <c r="J754" s="8"/>
    </row>
    <row r="755" spans="1:10" x14ac:dyDescent="0.3">
      <c r="A755" s="9"/>
      <c r="B755" s="8"/>
      <c r="C755" s="10" t="str">
        <f>IFERROR(VLOOKUP(B755,Activos!$A$5:$C$104,3,FALSE),"")</f>
        <v/>
      </c>
      <c r="D755" s="8"/>
      <c r="E755" s="19"/>
      <c r="F755" s="20"/>
      <c r="G755" s="17"/>
      <c r="H755" s="17"/>
      <c r="I755" s="18" t="str">
        <f t="shared" si="11"/>
        <v/>
      </c>
      <c r="J755" s="8"/>
    </row>
    <row r="756" spans="1:10" x14ac:dyDescent="0.3">
      <c r="A756" s="9"/>
      <c r="B756" s="8"/>
      <c r="C756" s="10" t="str">
        <f>IFERROR(VLOOKUP(B756,Activos!$A$5:$C$104,3,FALSE),"")</f>
        <v/>
      </c>
      <c r="D756" s="8"/>
      <c r="E756" s="19"/>
      <c r="F756" s="20"/>
      <c r="G756" s="17"/>
      <c r="H756" s="17"/>
      <c r="I756" s="18" t="str">
        <f t="shared" si="11"/>
        <v/>
      </c>
      <c r="J756" s="8"/>
    </row>
    <row r="757" spans="1:10" x14ac:dyDescent="0.3">
      <c r="A757" s="9"/>
      <c r="B757" s="8"/>
      <c r="C757" s="10" t="str">
        <f>IFERROR(VLOOKUP(B757,Activos!$A$5:$C$104,3,FALSE),"")</f>
        <v/>
      </c>
      <c r="D757" s="8"/>
      <c r="E757" s="19"/>
      <c r="F757" s="20"/>
      <c r="G757" s="17"/>
      <c r="H757" s="17"/>
      <c r="I757" s="18" t="str">
        <f t="shared" si="11"/>
        <v/>
      </c>
      <c r="J757" s="8"/>
    </row>
    <row r="758" spans="1:10" x14ac:dyDescent="0.3">
      <c r="A758" s="9"/>
      <c r="B758" s="8"/>
      <c r="C758" s="10" t="str">
        <f>IFERROR(VLOOKUP(B758,Activos!$A$5:$C$104,3,FALSE),"")</f>
        <v/>
      </c>
      <c r="D758" s="8"/>
      <c r="E758" s="19"/>
      <c r="F758" s="20"/>
      <c r="G758" s="17"/>
      <c r="H758" s="17"/>
      <c r="I758" s="18" t="str">
        <f t="shared" si="11"/>
        <v/>
      </c>
      <c r="J758" s="8"/>
    </row>
    <row r="759" spans="1:10" x14ac:dyDescent="0.3">
      <c r="A759" s="9"/>
      <c r="B759" s="8"/>
      <c r="C759" s="10" t="str">
        <f>IFERROR(VLOOKUP(B759,Activos!$A$5:$C$104,3,FALSE),"")</f>
        <v/>
      </c>
      <c r="D759" s="8"/>
      <c r="E759" s="19"/>
      <c r="F759" s="20"/>
      <c r="G759" s="17"/>
      <c r="H759" s="17"/>
      <c r="I759" s="18" t="str">
        <f t="shared" si="11"/>
        <v/>
      </c>
      <c r="J759" s="8"/>
    </row>
    <row r="760" spans="1:10" x14ac:dyDescent="0.3">
      <c r="A760" s="9"/>
      <c r="B760" s="8"/>
      <c r="C760" s="10" t="str">
        <f>IFERROR(VLOOKUP(B760,Activos!$A$5:$C$104,3,FALSE),"")</f>
        <v/>
      </c>
      <c r="D760" s="8"/>
      <c r="E760" s="19"/>
      <c r="F760" s="20"/>
      <c r="G760" s="17"/>
      <c r="H760" s="17"/>
      <c r="I760" s="18" t="str">
        <f t="shared" si="11"/>
        <v/>
      </c>
      <c r="J760" s="8"/>
    </row>
    <row r="761" spans="1:10" x14ac:dyDescent="0.3">
      <c r="A761" s="9"/>
      <c r="B761" s="8"/>
      <c r="C761" s="10" t="str">
        <f>IFERROR(VLOOKUP(B761,Activos!$A$5:$C$104,3,FALSE),"")</f>
        <v/>
      </c>
      <c r="D761" s="8"/>
      <c r="E761" s="19"/>
      <c r="F761" s="20"/>
      <c r="G761" s="17"/>
      <c r="H761" s="17"/>
      <c r="I761" s="18" t="str">
        <f t="shared" si="11"/>
        <v/>
      </c>
      <c r="J761" s="8"/>
    </row>
    <row r="762" spans="1:10" x14ac:dyDescent="0.3">
      <c r="A762" s="9"/>
      <c r="B762" s="8"/>
      <c r="C762" s="10" t="str">
        <f>IFERROR(VLOOKUP(B762,Activos!$A$5:$C$104,3,FALSE),"")</f>
        <v/>
      </c>
      <c r="D762" s="8"/>
      <c r="E762" s="19"/>
      <c r="F762" s="20"/>
      <c r="G762" s="17"/>
      <c r="H762" s="17"/>
      <c r="I762" s="18" t="str">
        <f t="shared" si="11"/>
        <v/>
      </c>
      <c r="J762" s="8"/>
    </row>
    <row r="763" spans="1:10" x14ac:dyDescent="0.3">
      <c r="A763" s="9"/>
      <c r="B763" s="8"/>
      <c r="C763" s="10" t="str">
        <f>IFERROR(VLOOKUP(B763,Activos!$A$5:$C$104,3,FALSE),"")</f>
        <v/>
      </c>
      <c r="D763" s="8"/>
      <c r="E763" s="19"/>
      <c r="F763" s="20"/>
      <c r="G763" s="17"/>
      <c r="H763" s="17"/>
      <c r="I763" s="18" t="str">
        <f t="shared" si="11"/>
        <v/>
      </c>
      <c r="J763" s="8"/>
    </row>
    <row r="764" spans="1:10" x14ac:dyDescent="0.3">
      <c r="A764" s="9"/>
      <c r="B764" s="8"/>
      <c r="C764" s="10" t="str">
        <f>IFERROR(VLOOKUP(B764,Activos!$A$5:$C$104,3,FALSE),"")</f>
        <v/>
      </c>
      <c r="D764" s="8"/>
      <c r="E764" s="19"/>
      <c r="F764" s="20"/>
      <c r="G764" s="17"/>
      <c r="H764" s="17"/>
      <c r="I764" s="18" t="str">
        <f t="shared" si="11"/>
        <v/>
      </c>
      <c r="J764" s="8"/>
    </row>
    <row r="765" spans="1:10" x14ac:dyDescent="0.3">
      <c r="A765" s="9"/>
      <c r="B765" s="8"/>
      <c r="C765" s="10" t="str">
        <f>IFERROR(VLOOKUP(B765,Activos!$A$5:$C$104,3,FALSE),"")</f>
        <v/>
      </c>
      <c r="D765" s="8"/>
      <c r="E765" s="19"/>
      <c r="F765" s="20"/>
      <c r="G765" s="17"/>
      <c r="H765" s="17"/>
      <c r="I765" s="18" t="str">
        <f t="shared" si="11"/>
        <v/>
      </c>
      <c r="J765" s="8"/>
    </row>
    <row r="766" spans="1:10" x14ac:dyDescent="0.3">
      <c r="A766" s="9"/>
      <c r="B766" s="8"/>
      <c r="C766" s="10" t="str">
        <f>IFERROR(VLOOKUP(B766,Activos!$A$5:$C$104,3,FALSE),"")</f>
        <v/>
      </c>
      <c r="D766" s="8"/>
      <c r="E766" s="19"/>
      <c r="F766" s="20"/>
      <c r="G766" s="17"/>
      <c r="H766" s="17"/>
      <c r="I766" s="18" t="str">
        <f t="shared" si="11"/>
        <v/>
      </c>
      <c r="J766" s="8"/>
    </row>
    <row r="767" spans="1:10" x14ac:dyDescent="0.3">
      <c r="A767" s="9"/>
      <c r="B767" s="8"/>
      <c r="C767" s="10" t="str">
        <f>IFERROR(VLOOKUP(B767,Activos!$A$5:$C$104,3,FALSE),"")</f>
        <v/>
      </c>
      <c r="D767" s="8"/>
      <c r="E767" s="19"/>
      <c r="F767" s="20"/>
      <c r="G767" s="17"/>
      <c r="H767" s="17"/>
      <c r="I767" s="18" t="str">
        <f t="shared" si="11"/>
        <v/>
      </c>
      <c r="J767" s="8"/>
    </row>
    <row r="768" spans="1:10" x14ac:dyDescent="0.3">
      <c r="A768" s="9"/>
      <c r="B768" s="8"/>
      <c r="C768" s="10" t="str">
        <f>IFERROR(VLOOKUP(B768,Activos!$A$5:$C$104,3,FALSE),"")</f>
        <v/>
      </c>
      <c r="D768" s="8"/>
      <c r="E768" s="19"/>
      <c r="F768" s="20"/>
      <c r="G768" s="17"/>
      <c r="H768" s="17"/>
      <c r="I768" s="18" t="str">
        <f t="shared" si="11"/>
        <v/>
      </c>
      <c r="J768" s="8"/>
    </row>
    <row r="769" spans="1:10" x14ac:dyDescent="0.3">
      <c r="A769" s="9"/>
      <c r="B769" s="8"/>
      <c r="C769" s="10" t="str">
        <f>IFERROR(VLOOKUP(B769,Activos!$A$5:$C$104,3,FALSE),"")</f>
        <v/>
      </c>
      <c r="D769" s="8"/>
      <c r="E769" s="19"/>
      <c r="F769" s="20"/>
      <c r="G769" s="17"/>
      <c r="H769" s="17"/>
      <c r="I769" s="18" t="str">
        <f t="shared" si="11"/>
        <v/>
      </c>
      <c r="J769" s="8"/>
    </row>
    <row r="770" spans="1:10" x14ac:dyDescent="0.3">
      <c r="A770" s="9"/>
      <c r="B770" s="8"/>
      <c r="C770" s="10" t="str">
        <f>IFERROR(VLOOKUP(B770,Activos!$A$5:$C$104,3,FALSE),"")</f>
        <v/>
      </c>
      <c r="D770" s="8"/>
      <c r="E770" s="19"/>
      <c r="F770" s="20"/>
      <c r="G770" s="17"/>
      <c r="H770" s="17"/>
      <c r="I770" s="18" t="str">
        <f t="shared" si="11"/>
        <v/>
      </c>
      <c r="J770" s="8"/>
    </row>
    <row r="771" spans="1:10" x14ac:dyDescent="0.3">
      <c r="A771" s="9"/>
      <c r="B771" s="8"/>
      <c r="C771" s="10" t="str">
        <f>IFERROR(VLOOKUP(B771,Activos!$A$5:$C$104,3,FALSE),"")</f>
        <v/>
      </c>
      <c r="D771" s="8"/>
      <c r="E771" s="19"/>
      <c r="F771" s="20"/>
      <c r="G771" s="17"/>
      <c r="H771" s="17"/>
      <c r="I771" s="18" t="str">
        <f t="shared" si="11"/>
        <v/>
      </c>
      <c r="J771" s="8"/>
    </row>
    <row r="772" spans="1:10" x14ac:dyDescent="0.3">
      <c r="A772" s="9"/>
      <c r="B772" s="8"/>
      <c r="C772" s="10" t="str">
        <f>IFERROR(VLOOKUP(B772,Activos!$A$5:$C$104,3,FALSE),"")</f>
        <v/>
      </c>
      <c r="D772" s="8"/>
      <c r="E772" s="19"/>
      <c r="F772" s="20"/>
      <c r="G772" s="17"/>
      <c r="H772" s="17"/>
      <c r="I772" s="18" t="str">
        <f t="shared" si="11"/>
        <v/>
      </c>
      <c r="J772" s="8"/>
    </row>
    <row r="773" spans="1:10" x14ac:dyDescent="0.3">
      <c r="A773" s="9"/>
      <c r="B773" s="8"/>
      <c r="C773" s="10" t="str">
        <f>IFERROR(VLOOKUP(B773,Activos!$A$5:$C$104,3,FALSE),"")</f>
        <v/>
      </c>
      <c r="D773" s="8"/>
      <c r="E773" s="19"/>
      <c r="F773" s="20"/>
      <c r="G773" s="17"/>
      <c r="H773" s="17"/>
      <c r="I773" s="18" t="str">
        <f t="shared" ref="I773:I836" si="12">IF(OR(D773="",G773=""),"",IF(D773="COMPRA",-G773-IF(H773="",0,H773),IF(D773="VENTA",G773-IF(H773="",0,H773),"")))</f>
        <v/>
      </c>
      <c r="J773" s="8"/>
    </row>
    <row r="774" spans="1:10" x14ac:dyDescent="0.3">
      <c r="A774" s="9"/>
      <c r="B774" s="8"/>
      <c r="C774" s="10" t="str">
        <f>IFERROR(VLOOKUP(B774,Activos!$A$5:$C$104,3,FALSE),"")</f>
        <v/>
      </c>
      <c r="D774" s="8"/>
      <c r="E774" s="19"/>
      <c r="F774" s="20"/>
      <c r="G774" s="17"/>
      <c r="H774" s="17"/>
      <c r="I774" s="18" t="str">
        <f t="shared" si="12"/>
        <v/>
      </c>
      <c r="J774" s="8"/>
    </row>
    <row r="775" spans="1:10" x14ac:dyDescent="0.3">
      <c r="A775" s="9"/>
      <c r="B775" s="8"/>
      <c r="C775" s="10" t="str">
        <f>IFERROR(VLOOKUP(B775,Activos!$A$5:$C$104,3,FALSE),"")</f>
        <v/>
      </c>
      <c r="D775" s="8"/>
      <c r="E775" s="19"/>
      <c r="F775" s="20"/>
      <c r="G775" s="17"/>
      <c r="H775" s="17"/>
      <c r="I775" s="18" t="str">
        <f t="shared" si="12"/>
        <v/>
      </c>
      <c r="J775" s="8"/>
    </row>
    <row r="776" spans="1:10" x14ac:dyDescent="0.3">
      <c r="A776" s="9"/>
      <c r="B776" s="8"/>
      <c r="C776" s="10" t="str">
        <f>IFERROR(VLOOKUP(B776,Activos!$A$5:$C$104,3,FALSE),"")</f>
        <v/>
      </c>
      <c r="D776" s="8"/>
      <c r="E776" s="19"/>
      <c r="F776" s="20"/>
      <c r="G776" s="17"/>
      <c r="H776" s="17"/>
      <c r="I776" s="18" t="str">
        <f t="shared" si="12"/>
        <v/>
      </c>
      <c r="J776" s="8"/>
    </row>
    <row r="777" spans="1:10" x14ac:dyDescent="0.3">
      <c r="A777" s="9"/>
      <c r="B777" s="8"/>
      <c r="C777" s="10" t="str">
        <f>IFERROR(VLOOKUP(B777,Activos!$A$5:$C$104,3,FALSE),"")</f>
        <v/>
      </c>
      <c r="D777" s="8"/>
      <c r="E777" s="19"/>
      <c r="F777" s="20"/>
      <c r="G777" s="17"/>
      <c r="H777" s="17"/>
      <c r="I777" s="18" t="str">
        <f t="shared" si="12"/>
        <v/>
      </c>
      <c r="J777" s="8"/>
    </row>
    <row r="778" spans="1:10" x14ac:dyDescent="0.3">
      <c r="A778" s="9"/>
      <c r="B778" s="8"/>
      <c r="C778" s="10" t="str">
        <f>IFERROR(VLOOKUP(B778,Activos!$A$5:$C$104,3,FALSE),"")</f>
        <v/>
      </c>
      <c r="D778" s="8"/>
      <c r="E778" s="19"/>
      <c r="F778" s="20"/>
      <c r="G778" s="17"/>
      <c r="H778" s="17"/>
      <c r="I778" s="18" t="str">
        <f t="shared" si="12"/>
        <v/>
      </c>
      <c r="J778" s="8"/>
    </row>
    <row r="779" spans="1:10" x14ac:dyDescent="0.3">
      <c r="A779" s="9"/>
      <c r="B779" s="8"/>
      <c r="C779" s="10" t="str">
        <f>IFERROR(VLOOKUP(B779,Activos!$A$5:$C$104,3,FALSE),"")</f>
        <v/>
      </c>
      <c r="D779" s="8"/>
      <c r="E779" s="19"/>
      <c r="F779" s="20"/>
      <c r="G779" s="17"/>
      <c r="H779" s="17"/>
      <c r="I779" s="18" t="str">
        <f t="shared" si="12"/>
        <v/>
      </c>
      <c r="J779" s="8"/>
    </row>
    <row r="780" spans="1:10" x14ac:dyDescent="0.3">
      <c r="A780" s="9"/>
      <c r="B780" s="8"/>
      <c r="C780" s="10" t="str">
        <f>IFERROR(VLOOKUP(B780,Activos!$A$5:$C$104,3,FALSE),"")</f>
        <v/>
      </c>
      <c r="D780" s="8"/>
      <c r="E780" s="19"/>
      <c r="F780" s="20"/>
      <c r="G780" s="17"/>
      <c r="H780" s="17"/>
      <c r="I780" s="18" t="str">
        <f t="shared" si="12"/>
        <v/>
      </c>
      <c r="J780" s="8"/>
    </row>
    <row r="781" spans="1:10" x14ac:dyDescent="0.3">
      <c r="A781" s="9"/>
      <c r="B781" s="8"/>
      <c r="C781" s="10" t="str">
        <f>IFERROR(VLOOKUP(B781,Activos!$A$5:$C$104,3,FALSE),"")</f>
        <v/>
      </c>
      <c r="D781" s="8"/>
      <c r="E781" s="19"/>
      <c r="F781" s="20"/>
      <c r="G781" s="17"/>
      <c r="H781" s="17"/>
      <c r="I781" s="18" t="str">
        <f t="shared" si="12"/>
        <v/>
      </c>
      <c r="J781" s="8"/>
    </row>
    <row r="782" spans="1:10" x14ac:dyDescent="0.3">
      <c r="A782" s="9"/>
      <c r="B782" s="8"/>
      <c r="C782" s="10" t="str">
        <f>IFERROR(VLOOKUP(B782,Activos!$A$5:$C$104,3,FALSE),"")</f>
        <v/>
      </c>
      <c r="D782" s="8"/>
      <c r="E782" s="19"/>
      <c r="F782" s="20"/>
      <c r="G782" s="17"/>
      <c r="H782" s="17"/>
      <c r="I782" s="18" t="str">
        <f t="shared" si="12"/>
        <v/>
      </c>
      <c r="J782" s="8"/>
    </row>
    <row r="783" spans="1:10" x14ac:dyDescent="0.3">
      <c r="A783" s="9"/>
      <c r="B783" s="8"/>
      <c r="C783" s="10" t="str">
        <f>IFERROR(VLOOKUP(B783,Activos!$A$5:$C$104,3,FALSE),"")</f>
        <v/>
      </c>
      <c r="D783" s="8"/>
      <c r="E783" s="19"/>
      <c r="F783" s="20"/>
      <c r="G783" s="17"/>
      <c r="H783" s="17"/>
      <c r="I783" s="18" t="str">
        <f t="shared" si="12"/>
        <v/>
      </c>
      <c r="J783" s="8"/>
    </row>
    <row r="784" spans="1:10" x14ac:dyDescent="0.3">
      <c r="A784" s="9"/>
      <c r="B784" s="8"/>
      <c r="C784" s="10" t="str">
        <f>IFERROR(VLOOKUP(B784,Activos!$A$5:$C$104,3,FALSE),"")</f>
        <v/>
      </c>
      <c r="D784" s="8"/>
      <c r="E784" s="19"/>
      <c r="F784" s="20"/>
      <c r="G784" s="17"/>
      <c r="H784" s="17"/>
      <c r="I784" s="18" t="str">
        <f t="shared" si="12"/>
        <v/>
      </c>
      <c r="J784" s="8"/>
    </row>
    <row r="785" spans="1:10" x14ac:dyDescent="0.3">
      <c r="A785" s="9"/>
      <c r="B785" s="8"/>
      <c r="C785" s="10" t="str">
        <f>IFERROR(VLOOKUP(B785,Activos!$A$5:$C$104,3,FALSE),"")</f>
        <v/>
      </c>
      <c r="D785" s="8"/>
      <c r="E785" s="19"/>
      <c r="F785" s="20"/>
      <c r="G785" s="17"/>
      <c r="H785" s="17"/>
      <c r="I785" s="18" t="str">
        <f t="shared" si="12"/>
        <v/>
      </c>
      <c r="J785" s="8"/>
    </row>
    <row r="786" spans="1:10" x14ac:dyDescent="0.3">
      <c r="A786" s="9"/>
      <c r="B786" s="8"/>
      <c r="C786" s="10" t="str">
        <f>IFERROR(VLOOKUP(B786,Activos!$A$5:$C$104,3,FALSE),"")</f>
        <v/>
      </c>
      <c r="D786" s="8"/>
      <c r="E786" s="19"/>
      <c r="F786" s="20"/>
      <c r="G786" s="17"/>
      <c r="H786" s="17"/>
      <c r="I786" s="18" t="str">
        <f t="shared" si="12"/>
        <v/>
      </c>
      <c r="J786" s="8"/>
    </row>
    <row r="787" spans="1:10" x14ac:dyDescent="0.3">
      <c r="A787" s="9"/>
      <c r="B787" s="8"/>
      <c r="C787" s="10" t="str">
        <f>IFERROR(VLOOKUP(B787,Activos!$A$5:$C$104,3,FALSE),"")</f>
        <v/>
      </c>
      <c r="D787" s="8"/>
      <c r="E787" s="19"/>
      <c r="F787" s="20"/>
      <c r="G787" s="17"/>
      <c r="H787" s="17"/>
      <c r="I787" s="18" t="str">
        <f t="shared" si="12"/>
        <v/>
      </c>
      <c r="J787" s="8"/>
    </row>
    <row r="788" spans="1:10" x14ac:dyDescent="0.3">
      <c r="A788" s="9"/>
      <c r="B788" s="8"/>
      <c r="C788" s="10" t="str">
        <f>IFERROR(VLOOKUP(B788,Activos!$A$5:$C$104,3,FALSE),"")</f>
        <v/>
      </c>
      <c r="D788" s="8"/>
      <c r="E788" s="19"/>
      <c r="F788" s="20"/>
      <c r="G788" s="17"/>
      <c r="H788" s="17"/>
      <c r="I788" s="18" t="str">
        <f t="shared" si="12"/>
        <v/>
      </c>
      <c r="J788" s="8"/>
    </row>
    <row r="789" spans="1:10" x14ac:dyDescent="0.3">
      <c r="A789" s="9"/>
      <c r="B789" s="8"/>
      <c r="C789" s="10" t="str">
        <f>IFERROR(VLOOKUP(B789,Activos!$A$5:$C$104,3,FALSE),"")</f>
        <v/>
      </c>
      <c r="D789" s="8"/>
      <c r="E789" s="19"/>
      <c r="F789" s="20"/>
      <c r="G789" s="17"/>
      <c r="H789" s="17"/>
      <c r="I789" s="18" t="str">
        <f t="shared" si="12"/>
        <v/>
      </c>
      <c r="J789" s="8"/>
    </row>
    <row r="790" spans="1:10" x14ac:dyDescent="0.3">
      <c r="A790" s="9"/>
      <c r="B790" s="8"/>
      <c r="C790" s="10" t="str">
        <f>IFERROR(VLOOKUP(B790,Activos!$A$5:$C$104,3,FALSE),"")</f>
        <v/>
      </c>
      <c r="D790" s="8"/>
      <c r="E790" s="19"/>
      <c r="F790" s="20"/>
      <c r="G790" s="17"/>
      <c r="H790" s="17"/>
      <c r="I790" s="18" t="str">
        <f t="shared" si="12"/>
        <v/>
      </c>
      <c r="J790" s="8"/>
    </row>
    <row r="791" spans="1:10" x14ac:dyDescent="0.3">
      <c r="A791" s="9"/>
      <c r="B791" s="8"/>
      <c r="C791" s="10" t="str">
        <f>IFERROR(VLOOKUP(B791,Activos!$A$5:$C$104,3,FALSE),"")</f>
        <v/>
      </c>
      <c r="D791" s="8"/>
      <c r="E791" s="19"/>
      <c r="F791" s="20"/>
      <c r="G791" s="17"/>
      <c r="H791" s="17"/>
      <c r="I791" s="18" t="str">
        <f t="shared" si="12"/>
        <v/>
      </c>
      <c r="J791" s="8"/>
    </row>
    <row r="792" spans="1:10" x14ac:dyDescent="0.3">
      <c r="A792" s="9"/>
      <c r="B792" s="8"/>
      <c r="C792" s="10" t="str">
        <f>IFERROR(VLOOKUP(B792,Activos!$A$5:$C$104,3,FALSE),"")</f>
        <v/>
      </c>
      <c r="D792" s="8"/>
      <c r="E792" s="19"/>
      <c r="F792" s="20"/>
      <c r="G792" s="17"/>
      <c r="H792" s="17"/>
      <c r="I792" s="18" t="str">
        <f t="shared" si="12"/>
        <v/>
      </c>
      <c r="J792" s="8"/>
    </row>
    <row r="793" spans="1:10" x14ac:dyDescent="0.3">
      <c r="A793" s="9"/>
      <c r="B793" s="8"/>
      <c r="C793" s="10" t="str">
        <f>IFERROR(VLOOKUP(B793,Activos!$A$5:$C$104,3,FALSE),"")</f>
        <v/>
      </c>
      <c r="D793" s="8"/>
      <c r="E793" s="19"/>
      <c r="F793" s="20"/>
      <c r="G793" s="17"/>
      <c r="H793" s="17"/>
      <c r="I793" s="18" t="str">
        <f t="shared" si="12"/>
        <v/>
      </c>
      <c r="J793" s="8"/>
    </row>
    <row r="794" spans="1:10" x14ac:dyDescent="0.3">
      <c r="A794" s="9"/>
      <c r="B794" s="8"/>
      <c r="C794" s="10" t="str">
        <f>IFERROR(VLOOKUP(B794,Activos!$A$5:$C$104,3,FALSE),"")</f>
        <v/>
      </c>
      <c r="D794" s="8"/>
      <c r="E794" s="19"/>
      <c r="F794" s="20"/>
      <c r="G794" s="17"/>
      <c r="H794" s="17"/>
      <c r="I794" s="18" t="str">
        <f t="shared" si="12"/>
        <v/>
      </c>
      <c r="J794" s="8"/>
    </row>
    <row r="795" spans="1:10" x14ac:dyDescent="0.3">
      <c r="A795" s="9"/>
      <c r="B795" s="8"/>
      <c r="C795" s="10" t="str">
        <f>IFERROR(VLOOKUP(B795,Activos!$A$5:$C$104,3,FALSE),"")</f>
        <v/>
      </c>
      <c r="D795" s="8"/>
      <c r="E795" s="19"/>
      <c r="F795" s="20"/>
      <c r="G795" s="17"/>
      <c r="H795" s="17"/>
      <c r="I795" s="18" t="str">
        <f t="shared" si="12"/>
        <v/>
      </c>
      <c r="J795" s="8"/>
    </row>
    <row r="796" spans="1:10" x14ac:dyDescent="0.3">
      <c r="A796" s="9"/>
      <c r="B796" s="8"/>
      <c r="C796" s="10" t="str">
        <f>IFERROR(VLOOKUP(B796,Activos!$A$5:$C$104,3,FALSE),"")</f>
        <v/>
      </c>
      <c r="D796" s="8"/>
      <c r="E796" s="19"/>
      <c r="F796" s="20"/>
      <c r="G796" s="17"/>
      <c r="H796" s="17"/>
      <c r="I796" s="18" t="str">
        <f t="shared" si="12"/>
        <v/>
      </c>
      <c r="J796" s="8"/>
    </row>
    <row r="797" spans="1:10" x14ac:dyDescent="0.3">
      <c r="A797" s="9"/>
      <c r="B797" s="8"/>
      <c r="C797" s="10" t="str">
        <f>IFERROR(VLOOKUP(B797,Activos!$A$5:$C$104,3,FALSE),"")</f>
        <v/>
      </c>
      <c r="D797" s="8"/>
      <c r="E797" s="19"/>
      <c r="F797" s="20"/>
      <c r="G797" s="17"/>
      <c r="H797" s="17"/>
      <c r="I797" s="18" t="str">
        <f t="shared" si="12"/>
        <v/>
      </c>
      <c r="J797" s="8"/>
    </row>
    <row r="798" spans="1:10" x14ac:dyDescent="0.3">
      <c r="A798" s="9"/>
      <c r="B798" s="8"/>
      <c r="C798" s="10" t="str">
        <f>IFERROR(VLOOKUP(B798,Activos!$A$5:$C$104,3,FALSE),"")</f>
        <v/>
      </c>
      <c r="D798" s="8"/>
      <c r="E798" s="19"/>
      <c r="F798" s="20"/>
      <c r="G798" s="17"/>
      <c r="H798" s="17"/>
      <c r="I798" s="18" t="str">
        <f t="shared" si="12"/>
        <v/>
      </c>
      <c r="J798" s="8"/>
    </row>
    <row r="799" spans="1:10" x14ac:dyDescent="0.3">
      <c r="A799" s="9"/>
      <c r="B799" s="8"/>
      <c r="C799" s="10" t="str">
        <f>IFERROR(VLOOKUP(B799,Activos!$A$5:$C$104,3,FALSE),"")</f>
        <v/>
      </c>
      <c r="D799" s="8"/>
      <c r="E799" s="19"/>
      <c r="F799" s="20"/>
      <c r="G799" s="17"/>
      <c r="H799" s="17"/>
      <c r="I799" s="18" t="str">
        <f t="shared" si="12"/>
        <v/>
      </c>
      <c r="J799" s="8"/>
    </row>
    <row r="800" spans="1:10" x14ac:dyDescent="0.3">
      <c r="A800" s="9"/>
      <c r="B800" s="8"/>
      <c r="C800" s="10" t="str">
        <f>IFERROR(VLOOKUP(B800,Activos!$A$5:$C$104,3,FALSE),"")</f>
        <v/>
      </c>
      <c r="D800" s="8"/>
      <c r="E800" s="19"/>
      <c r="F800" s="20"/>
      <c r="G800" s="17"/>
      <c r="H800" s="17"/>
      <c r="I800" s="18" t="str">
        <f t="shared" si="12"/>
        <v/>
      </c>
      <c r="J800" s="8"/>
    </row>
    <row r="801" spans="1:10" x14ac:dyDescent="0.3">
      <c r="A801" s="9"/>
      <c r="B801" s="8"/>
      <c r="C801" s="10" t="str">
        <f>IFERROR(VLOOKUP(B801,Activos!$A$5:$C$104,3,FALSE),"")</f>
        <v/>
      </c>
      <c r="D801" s="8"/>
      <c r="E801" s="19"/>
      <c r="F801" s="20"/>
      <c r="G801" s="17"/>
      <c r="H801" s="17"/>
      <c r="I801" s="18" t="str">
        <f t="shared" si="12"/>
        <v/>
      </c>
      <c r="J801" s="8"/>
    </row>
    <row r="802" spans="1:10" x14ac:dyDescent="0.3">
      <c r="A802" s="9"/>
      <c r="B802" s="8"/>
      <c r="C802" s="10" t="str">
        <f>IFERROR(VLOOKUP(B802,Activos!$A$5:$C$104,3,FALSE),"")</f>
        <v/>
      </c>
      <c r="D802" s="8"/>
      <c r="E802" s="19"/>
      <c r="F802" s="20"/>
      <c r="G802" s="17"/>
      <c r="H802" s="17"/>
      <c r="I802" s="18" t="str">
        <f t="shared" si="12"/>
        <v/>
      </c>
      <c r="J802" s="8"/>
    </row>
    <row r="803" spans="1:10" x14ac:dyDescent="0.3">
      <c r="A803" s="9"/>
      <c r="B803" s="8"/>
      <c r="C803" s="10" t="str">
        <f>IFERROR(VLOOKUP(B803,Activos!$A$5:$C$104,3,FALSE),"")</f>
        <v/>
      </c>
      <c r="D803" s="8"/>
      <c r="E803" s="19"/>
      <c r="F803" s="20"/>
      <c r="G803" s="17"/>
      <c r="H803" s="17"/>
      <c r="I803" s="18" t="str">
        <f t="shared" si="12"/>
        <v/>
      </c>
      <c r="J803" s="8"/>
    </row>
    <row r="804" spans="1:10" x14ac:dyDescent="0.3">
      <c r="A804" s="9"/>
      <c r="B804" s="8"/>
      <c r="C804" s="10" t="str">
        <f>IFERROR(VLOOKUP(B804,Activos!$A$5:$C$104,3,FALSE),"")</f>
        <v/>
      </c>
      <c r="D804" s="8"/>
      <c r="E804" s="19"/>
      <c r="F804" s="20"/>
      <c r="G804" s="17"/>
      <c r="H804" s="17"/>
      <c r="I804" s="18" t="str">
        <f t="shared" si="12"/>
        <v/>
      </c>
      <c r="J804" s="8"/>
    </row>
    <row r="805" spans="1:10" x14ac:dyDescent="0.3">
      <c r="A805" s="9"/>
      <c r="B805" s="8"/>
      <c r="C805" s="10" t="str">
        <f>IFERROR(VLOOKUP(B805,Activos!$A$5:$C$104,3,FALSE),"")</f>
        <v/>
      </c>
      <c r="D805" s="8"/>
      <c r="E805" s="19"/>
      <c r="F805" s="20"/>
      <c r="G805" s="17"/>
      <c r="H805" s="17"/>
      <c r="I805" s="18" t="str">
        <f t="shared" si="12"/>
        <v/>
      </c>
      <c r="J805" s="8"/>
    </row>
    <row r="806" spans="1:10" x14ac:dyDescent="0.3">
      <c r="A806" s="9"/>
      <c r="B806" s="8"/>
      <c r="C806" s="10" t="str">
        <f>IFERROR(VLOOKUP(B806,Activos!$A$5:$C$104,3,FALSE),"")</f>
        <v/>
      </c>
      <c r="D806" s="8"/>
      <c r="E806" s="19"/>
      <c r="F806" s="20"/>
      <c r="G806" s="17"/>
      <c r="H806" s="17"/>
      <c r="I806" s="18" t="str">
        <f t="shared" si="12"/>
        <v/>
      </c>
      <c r="J806" s="8"/>
    </row>
    <row r="807" spans="1:10" x14ac:dyDescent="0.3">
      <c r="A807" s="9"/>
      <c r="B807" s="8"/>
      <c r="C807" s="10" t="str">
        <f>IFERROR(VLOOKUP(B807,Activos!$A$5:$C$104,3,FALSE),"")</f>
        <v/>
      </c>
      <c r="D807" s="8"/>
      <c r="E807" s="19"/>
      <c r="F807" s="20"/>
      <c r="G807" s="17"/>
      <c r="H807" s="17"/>
      <c r="I807" s="18" t="str">
        <f t="shared" si="12"/>
        <v/>
      </c>
      <c r="J807" s="8"/>
    </row>
    <row r="808" spans="1:10" x14ac:dyDescent="0.3">
      <c r="A808" s="9"/>
      <c r="B808" s="8"/>
      <c r="C808" s="10" t="str">
        <f>IFERROR(VLOOKUP(B808,Activos!$A$5:$C$104,3,FALSE),"")</f>
        <v/>
      </c>
      <c r="D808" s="8"/>
      <c r="E808" s="19"/>
      <c r="F808" s="20"/>
      <c r="G808" s="17"/>
      <c r="H808" s="17"/>
      <c r="I808" s="18" t="str">
        <f t="shared" si="12"/>
        <v/>
      </c>
      <c r="J808" s="8"/>
    </row>
    <row r="809" spans="1:10" x14ac:dyDescent="0.3">
      <c r="A809" s="9"/>
      <c r="B809" s="8"/>
      <c r="C809" s="10" t="str">
        <f>IFERROR(VLOOKUP(B809,Activos!$A$5:$C$104,3,FALSE),"")</f>
        <v/>
      </c>
      <c r="D809" s="8"/>
      <c r="E809" s="19"/>
      <c r="F809" s="20"/>
      <c r="G809" s="17"/>
      <c r="H809" s="17"/>
      <c r="I809" s="18" t="str">
        <f t="shared" si="12"/>
        <v/>
      </c>
      <c r="J809" s="8"/>
    </row>
    <row r="810" spans="1:10" x14ac:dyDescent="0.3">
      <c r="A810" s="9"/>
      <c r="B810" s="8"/>
      <c r="C810" s="10" t="str">
        <f>IFERROR(VLOOKUP(B810,Activos!$A$5:$C$104,3,FALSE),"")</f>
        <v/>
      </c>
      <c r="D810" s="8"/>
      <c r="E810" s="19"/>
      <c r="F810" s="20"/>
      <c r="G810" s="17"/>
      <c r="H810" s="17"/>
      <c r="I810" s="18" t="str">
        <f t="shared" si="12"/>
        <v/>
      </c>
      <c r="J810" s="8"/>
    </row>
    <row r="811" spans="1:10" x14ac:dyDescent="0.3">
      <c r="A811" s="9"/>
      <c r="B811" s="8"/>
      <c r="C811" s="10" t="str">
        <f>IFERROR(VLOOKUP(B811,Activos!$A$5:$C$104,3,FALSE),"")</f>
        <v/>
      </c>
      <c r="D811" s="8"/>
      <c r="E811" s="19"/>
      <c r="F811" s="20"/>
      <c r="G811" s="17"/>
      <c r="H811" s="17"/>
      <c r="I811" s="18" t="str">
        <f t="shared" si="12"/>
        <v/>
      </c>
      <c r="J811" s="8"/>
    </row>
    <row r="812" spans="1:10" x14ac:dyDescent="0.3">
      <c r="A812" s="9"/>
      <c r="B812" s="8"/>
      <c r="C812" s="10" t="str">
        <f>IFERROR(VLOOKUP(B812,Activos!$A$5:$C$104,3,FALSE),"")</f>
        <v/>
      </c>
      <c r="D812" s="8"/>
      <c r="E812" s="19"/>
      <c r="F812" s="20"/>
      <c r="G812" s="17"/>
      <c r="H812" s="17"/>
      <c r="I812" s="18" t="str">
        <f t="shared" si="12"/>
        <v/>
      </c>
      <c r="J812" s="8"/>
    </row>
    <row r="813" spans="1:10" x14ac:dyDescent="0.3">
      <c r="A813" s="9"/>
      <c r="B813" s="8"/>
      <c r="C813" s="10" t="str">
        <f>IFERROR(VLOOKUP(B813,Activos!$A$5:$C$104,3,FALSE),"")</f>
        <v/>
      </c>
      <c r="D813" s="8"/>
      <c r="E813" s="19"/>
      <c r="F813" s="20"/>
      <c r="G813" s="17"/>
      <c r="H813" s="17"/>
      <c r="I813" s="18" t="str">
        <f t="shared" si="12"/>
        <v/>
      </c>
      <c r="J813" s="8"/>
    </row>
    <row r="814" spans="1:10" x14ac:dyDescent="0.3">
      <c r="A814" s="9"/>
      <c r="B814" s="8"/>
      <c r="C814" s="10" t="str">
        <f>IFERROR(VLOOKUP(B814,Activos!$A$5:$C$104,3,FALSE),"")</f>
        <v/>
      </c>
      <c r="D814" s="8"/>
      <c r="E814" s="19"/>
      <c r="F814" s="20"/>
      <c r="G814" s="17"/>
      <c r="H814" s="17"/>
      <c r="I814" s="18" t="str">
        <f t="shared" si="12"/>
        <v/>
      </c>
      <c r="J814" s="8"/>
    </row>
    <row r="815" spans="1:10" x14ac:dyDescent="0.3">
      <c r="A815" s="9"/>
      <c r="B815" s="8"/>
      <c r="C815" s="10" t="str">
        <f>IFERROR(VLOOKUP(B815,Activos!$A$5:$C$104,3,FALSE),"")</f>
        <v/>
      </c>
      <c r="D815" s="8"/>
      <c r="E815" s="19"/>
      <c r="F815" s="20"/>
      <c r="G815" s="17"/>
      <c r="H815" s="17"/>
      <c r="I815" s="18" t="str">
        <f t="shared" si="12"/>
        <v/>
      </c>
      <c r="J815" s="8"/>
    </row>
    <row r="816" spans="1:10" x14ac:dyDescent="0.3">
      <c r="A816" s="9"/>
      <c r="B816" s="8"/>
      <c r="C816" s="10" t="str">
        <f>IFERROR(VLOOKUP(B816,Activos!$A$5:$C$104,3,FALSE),"")</f>
        <v/>
      </c>
      <c r="D816" s="8"/>
      <c r="E816" s="19"/>
      <c r="F816" s="20"/>
      <c r="G816" s="17"/>
      <c r="H816" s="17"/>
      <c r="I816" s="18" t="str">
        <f t="shared" si="12"/>
        <v/>
      </c>
      <c r="J816" s="8"/>
    </row>
    <row r="817" spans="1:10" x14ac:dyDescent="0.3">
      <c r="A817" s="9"/>
      <c r="B817" s="8"/>
      <c r="C817" s="10" t="str">
        <f>IFERROR(VLOOKUP(B817,Activos!$A$5:$C$104,3,FALSE),"")</f>
        <v/>
      </c>
      <c r="D817" s="8"/>
      <c r="E817" s="19"/>
      <c r="F817" s="20"/>
      <c r="G817" s="17"/>
      <c r="H817" s="17"/>
      <c r="I817" s="18" t="str">
        <f t="shared" si="12"/>
        <v/>
      </c>
      <c r="J817" s="8"/>
    </row>
    <row r="818" spans="1:10" x14ac:dyDescent="0.3">
      <c r="A818" s="9"/>
      <c r="B818" s="8"/>
      <c r="C818" s="10" t="str">
        <f>IFERROR(VLOOKUP(B818,Activos!$A$5:$C$104,3,FALSE),"")</f>
        <v/>
      </c>
      <c r="D818" s="8"/>
      <c r="E818" s="19"/>
      <c r="F818" s="20"/>
      <c r="G818" s="17"/>
      <c r="H818" s="17"/>
      <c r="I818" s="18" t="str">
        <f t="shared" si="12"/>
        <v/>
      </c>
      <c r="J818" s="8"/>
    </row>
    <row r="819" spans="1:10" x14ac:dyDescent="0.3">
      <c r="A819" s="9"/>
      <c r="B819" s="8"/>
      <c r="C819" s="10" t="str">
        <f>IFERROR(VLOOKUP(B819,Activos!$A$5:$C$104,3,FALSE),"")</f>
        <v/>
      </c>
      <c r="D819" s="8"/>
      <c r="E819" s="19"/>
      <c r="F819" s="20"/>
      <c r="G819" s="17"/>
      <c r="H819" s="17"/>
      <c r="I819" s="18" t="str">
        <f t="shared" si="12"/>
        <v/>
      </c>
      <c r="J819" s="8"/>
    </row>
    <row r="820" spans="1:10" x14ac:dyDescent="0.3">
      <c r="A820" s="9"/>
      <c r="B820" s="8"/>
      <c r="C820" s="10" t="str">
        <f>IFERROR(VLOOKUP(B820,Activos!$A$5:$C$104,3,FALSE),"")</f>
        <v/>
      </c>
      <c r="D820" s="8"/>
      <c r="E820" s="19"/>
      <c r="F820" s="20"/>
      <c r="G820" s="17"/>
      <c r="H820" s="17"/>
      <c r="I820" s="18" t="str">
        <f t="shared" si="12"/>
        <v/>
      </c>
      <c r="J820" s="8"/>
    </row>
    <row r="821" spans="1:10" x14ac:dyDescent="0.3">
      <c r="A821" s="9"/>
      <c r="B821" s="8"/>
      <c r="C821" s="10" t="str">
        <f>IFERROR(VLOOKUP(B821,Activos!$A$5:$C$104,3,FALSE),"")</f>
        <v/>
      </c>
      <c r="D821" s="8"/>
      <c r="E821" s="19"/>
      <c r="F821" s="20"/>
      <c r="G821" s="17"/>
      <c r="H821" s="17"/>
      <c r="I821" s="18" t="str">
        <f t="shared" si="12"/>
        <v/>
      </c>
      <c r="J821" s="8"/>
    </row>
    <row r="822" spans="1:10" x14ac:dyDescent="0.3">
      <c r="A822" s="9"/>
      <c r="B822" s="8"/>
      <c r="C822" s="10" t="str">
        <f>IFERROR(VLOOKUP(B822,Activos!$A$5:$C$104,3,FALSE),"")</f>
        <v/>
      </c>
      <c r="D822" s="8"/>
      <c r="E822" s="19"/>
      <c r="F822" s="20"/>
      <c r="G822" s="17"/>
      <c r="H822" s="17"/>
      <c r="I822" s="18" t="str">
        <f t="shared" si="12"/>
        <v/>
      </c>
      <c r="J822" s="8"/>
    </row>
    <row r="823" spans="1:10" x14ac:dyDescent="0.3">
      <c r="A823" s="9"/>
      <c r="B823" s="8"/>
      <c r="C823" s="10" t="str">
        <f>IFERROR(VLOOKUP(B823,Activos!$A$5:$C$104,3,FALSE),"")</f>
        <v/>
      </c>
      <c r="D823" s="8"/>
      <c r="E823" s="19"/>
      <c r="F823" s="20"/>
      <c r="G823" s="17"/>
      <c r="H823" s="17"/>
      <c r="I823" s="18" t="str">
        <f t="shared" si="12"/>
        <v/>
      </c>
      <c r="J823" s="8"/>
    </row>
    <row r="824" spans="1:10" x14ac:dyDescent="0.3">
      <c r="A824" s="9"/>
      <c r="B824" s="8"/>
      <c r="C824" s="10" t="str">
        <f>IFERROR(VLOOKUP(B824,Activos!$A$5:$C$104,3,FALSE),"")</f>
        <v/>
      </c>
      <c r="D824" s="8"/>
      <c r="E824" s="19"/>
      <c r="F824" s="20"/>
      <c r="G824" s="17"/>
      <c r="H824" s="17"/>
      <c r="I824" s="18" t="str">
        <f t="shared" si="12"/>
        <v/>
      </c>
      <c r="J824" s="8"/>
    </row>
    <row r="825" spans="1:10" x14ac:dyDescent="0.3">
      <c r="A825" s="9"/>
      <c r="B825" s="8"/>
      <c r="C825" s="10" t="str">
        <f>IFERROR(VLOOKUP(B825,Activos!$A$5:$C$104,3,FALSE),"")</f>
        <v/>
      </c>
      <c r="D825" s="8"/>
      <c r="E825" s="19"/>
      <c r="F825" s="20"/>
      <c r="G825" s="17"/>
      <c r="H825" s="17"/>
      <c r="I825" s="18" t="str">
        <f t="shared" si="12"/>
        <v/>
      </c>
      <c r="J825" s="8"/>
    </row>
    <row r="826" spans="1:10" x14ac:dyDescent="0.3">
      <c r="A826" s="9"/>
      <c r="B826" s="8"/>
      <c r="C826" s="10" t="str">
        <f>IFERROR(VLOOKUP(B826,Activos!$A$5:$C$104,3,FALSE),"")</f>
        <v/>
      </c>
      <c r="D826" s="8"/>
      <c r="E826" s="19"/>
      <c r="F826" s="20"/>
      <c r="G826" s="17"/>
      <c r="H826" s="17"/>
      <c r="I826" s="18" t="str">
        <f t="shared" si="12"/>
        <v/>
      </c>
      <c r="J826" s="8"/>
    </row>
    <row r="827" spans="1:10" x14ac:dyDescent="0.3">
      <c r="A827" s="9"/>
      <c r="B827" s="8"/>
      <c r="C827" s="10" t="str">
        <f>IFERROR(VLOOKUP(B827,Activos!$A$5:$C$104,3,FALSE),"")</f>
        <v/>
      </c>
      <c r="D827" s="8"/>
      <c r="E827" s="19"/>
      <c r="F827" s="20"/>
      <c r="G827" s="17"/>
      <c r="H827" s="17"/>
      <c r="I827" s="18" t="str">
        <f t="shared" si="12"/>
        <v/>
      </c>
      <c r="J827" s="8"/>
    </row>
    <row r="828" spans="1:10" x14ac:dyDescent="0.3">
      <c r="A828" s="9"/>
      <c r="B828" s="8"/>
      <c r="C828" s="10" t="str">
        <f>IFERROR(VLOOKUP(B828,Activos!$A$5:$C$104,3,FALSE),"")</f>
        <v/>
      </c>
      <c r="D828" s="8"/>
      <c r="E828" s="19"/>
      <c r="F828" s="20"/>
      <c r="G828" s="17"/>
      <c r="H828" s="17"/>
      <c r="I828" s="18" t="str">
        <f t="shared" si="12"/>
        <v/>
      </c>
      <c r="J828" s="8"/>
    </row>
    <row r="829" spans="1:10" x14ac:dyDescent="0.3">
      <c r="A829" s="9"/>
      <c r="B829" s="8"/>
      <c r="C829" s="10" t="str">
        <f>IFERROR(VLOOKUP(B829,Activos!$A$5:$C$104,3,FALSE),"")</f>
        <v/>
      </c>
      <c r="D829" s="8"/>
      <c r="E829" s="19"/>
      <c r="F829" s="20"/>
      <c r="G829" s="17"/>
      <c r="H829" s="17"/>
      <c r="I829" s="18" t="str">
        <f t="shared" si="12"/>
        <v/>
      </c>
      <c r="J829" s="8"/>
    </row>
    <row r="830" spans="1:10" x14ac:dyDescent="0.3">
      <c r="A830" s="9"/>
      <c r="B830" s="8"/>
      <c r="C830" s="10" t="str">
        <f>IFERROR(VLOOKUP(B830,Activos!$A$5:$C$104,3,FALSE),"")</f>
        <v/>
      </c>
      <c r="D830" s="8"/>
      <c r="E830" s="19"/>
      <c r="F830" s="20"/>
      <c r="G830" s="17"/>
      <c r="H830" s="17"/>
      <c r="I830" s="18" t="str">
        <f t="shared" si="12"/>
        <v/>
      </c>
      <c r="J830" s="8"/>
    </row>
    <row r="831" spans="1:10" x14ac:dyDescent="0.3">
      <c r="A831" s="9"/>
      <c r="B831" s="8"/>
      <c r="C831" s="10" t="str">
        <f>IFERROR(VLOOKUP(B831,Activos!$A$5:$C$104,3,FALSE),"")</f>
        <v/>
      </c>
      <c r="D831" s="8"/>
      <c r="E831" s="19"/>
      <c r="F831" s="20"/>
      <c r="G831" s="17"/>
      <c r="H831" s="17"/>
      <c r="I831" s="18" t="str">
        <f t="shared" si="12"/>
        <v/>
      </c>
      <c r="J831" s="8"/>
    </row>
    <row r="832" spans="1:10" x14ac:dyDescent="0.3">
      <c r="A832" s="9"/>
      <c r="B832" s="8"/>
      <c r="C832" s="10" t="str">
        <f>IFERROR(VLOOKUP(B832,Activos!$A$5:$C$104,3,FALSE),"")</f>
        <v/>
      </c>
      <c r="D832" s="8"/>
      <c r="E832" s="19"/>
      <c r="F832" s="20"/>
      <c r="G832" s="17"/>
      <c r="H832" s="17"/>
      <c r="I832" s="18" t="str">
        <f t="shared" si="12"/>
        <v/>
      </c>
      <c r="J832" s="8"/>
    </row>
    <row r="833" spans="1:10" x14ac:dyDescent="0.3">
      <c r="A833" s="9"/>
      <c r="B833" s="8"/>
      <c r="C833" s="10" t="str">
        <f>IFERROR(VLOOKUP(B833,Activos!$A$5:$C$104,3,FALSE),"")</f>
        <v/>
      </c>
      <c r="D833" s="8"/>
      <c r="E833" s="19"/>
      <c r="F833" s="20"/>
      <c r="G833" s="17"/>
      <c r="H833" s="17"/>
      <c r="I833" s="18" t="str">
        <f t="shared" si="12"/>
        <v/>
      </c>
      <c r="J833" s="8"/>
    </row>
    <row r="834" spans="1:10" x14ac:dyDescent="0.3">
      <c r="A834" s="9"/>
      <c r="B834" s="8"/>
      <c r="C834" s="10" t="str">
        <f>IFERROR(VLOOKUP(B834,Activos!$A$5:$C$104,3,FALSE),"")</f>
        <v/>
      </c>
      <c r="D834" s="8"/>
      <c r="E834" s="19"/>
      <c r="F834" s="20"/>
      <c r="G834" s="17"/>
      <c r="H834" s="17"/>
      <c r="I834" s="18" t="str">
        <f t="shared" si="12"/>
        <v/>
      </c>
      <c r="J834" s="8"/>
    </row>
    <row r="835" spans="1:10" x14ac:dyDescent="0.3">
      <c r="A835" s="9"/>
      <c r="B835" s="8"/>
      <c r="C835" s="10" t="str">
        <f>IFERROR(VLOOKUP(B835,Activos!$A$5:$C$104,3,FALSE),"")</f>
        <v/>
      </c>
      <c r="D835" s="8"/>
      <c r="E835" s="19"/>
      <c r="F835" s="20"/>
      <c r="G835" s="17"/>
      <c r="H835" s="17"/>
      <c r="I835" s="18" t="str">
        <f t="shared" si="12"/>
        <v/>
      </c>
      <c r="J835" s="8"/>
    </row>
    <row r="836" spans="1:10" x14ac:dyDescent="0.3">
      <c r="A836" s="9"/>
      <c r="B836" s="8"/>
      <c r="C836" s="10" t="str">
        <f>IFERROR(VLOOKUP(B836,Activos!$A$5:$C$104,3,FALSE),"")</f>
        <v/>
      </c>
      <c r="D836" s="8"/>
      <c r="E836" s="19"/>
      <c r="F836" s="20"/>
      <c r="G836" s="17"/>
      <c r="H836" s="17"/>
      <c r="I836" s="18" t="str">
        <f t="shared" si="12"/>
        <v/>
      </c>
      <c r="J836" s="8"/>
    </row>
    <row r="837" spans="1:10" x14ac:dyDescent="0.3">
      <c r="A837" s="9"/>
      <c r="B837" s="8"/>
      <c r="C837" s="10" t="str">
        <f>IFERROR(VLOOKUP(B837,Activos!$A$5:$C$104,3,FALSE),"")</f>
        <v/>
      </c>
      <c r="D837" s="8"/>
      <c r="E837" s="19"/>
      <c r="F837" s="20"/>
      <c r="G837" s="17"/>
      <c r="H837" s="17"/>
      <c r="I837" s="18" t="str">
        <f t="shared" ref="I837:I900" si="13">IF(OR(D837="",G837=""),"",IF(D837="COMPRA",-G837-IF(H837="",0,H837),IF(D837="VENTA",G837-IF(H837="",0,H837),"")))</f>
        <v/>
      </c>
      <c r="J837" s="8"/>
    </row>
    <row r="838" spans="1:10" x14ac:dyDescent="0.3">
      <c r="A838" s="9"/>
      <c r="B838" s="8"/>
      <c r="C838" s="10" t="str">
        <f>IFERROR(VLOOKUP(B838,Activos!$A$5:$C$104,3,FALSE),"")</f>
        <v/>
      </c>
      <c r="D838" s="8"/>
      <c r="E838" s="19"/>
      <c r="F838" s="20"/>
      <c r="G838" s="17"/>
      <c r="H838" s="17"/>
      <c r="I838" s="18" t="str">
        <f t="shared" si="13"/>
        <v/>
      </c>
      <c r="J838" s="8"/>
    </row>
    <row r="839" spans="1:10" x14ac:dyDescent="0.3">
      <c r="A839" s="9"/>
      <c r="B839" s="8"/>
      <c r="C839" s="10" t="str">
        <f>IFERROR(VLOOKUP(B839,Activos!$A$5:$C$104,3,FALSE),"")</f>
        <v/>
      </c>
      <c r="D839" s="8"/>
      <c r="E839" s="19"/>
      <c r="F839" s="20"/>
      <c r="G839" s="17"/>
      <c r="H839" s="17"/>
      <c r="I839" s="18" t="str">
        <f t="shared" si="13"/>
        <v/>
      </c>
      <c r="J839" s="8"/>
    </row>
    <row r="840" spans="1:10" x14ac:dyDescent="0.3">
      <c r="A840" s="9"/>
      <c r="B840" s="8"/>
      <c r="C840" s="10" t="str">
        <f>IFERROR(VLOOKUP(B840,Activos!$A$5:$C$104,3,FALSE),"")</f>
        <v/>
      </c>
      <c r="D840" s="8"/>
      <c r="E840" s="19"/>
      <c r="F840" s="20"/>
      <c r="G840" s="17"/>
      <c r="H840" s="17"/>
      <c r="I840" s="18" t="str">
        <f t="shared" si="13"/>
        <v/>
      </c>
      <c r="J840" s="8"/>
    </row>
    <row r="841" spans="1:10" x14ac:dyDescent="0.3">
      <c r="A841" s="9"/>
      <c r="B841" s="8"/>
      <c r="C841" s="10" t="str">
        <f>IFERROR(VLOOKUP(B841,Activos!$A$5:$C$104,3,FALSE),"")</f>
        <v/>
      </c>
      <c r="D841" s="8"/>
      <c r="E841" s="19"/>
      <c r="F841" s="20"/>
      <c r="G841" s="17"/>
      <c r="H841" s="17"/>
      <c r="I841" s="18" t="str">
        <f t="shared" si="13"/>
        <v/>
      </c>
      <c r="J841" s="8"/>
    </row>
    <row r="842" spans="1:10" x14ac:dyDescent="0.3">
      <c r="A842" s="9"/>
      <c r="B842" s="8"/>
      <c r="C842" s="10" t="str">
        <f>IFERROR(VLOOKUP(B842,Activos!$A$5:$C$104,3,FALSE),"")</f>
        <v/>
      </c>
      <c r="D842" s="8"/>
      <c r="E842" s="19"/>
      <c r="F842" s="20"/>
      <c r="G842" s="17"/>
      <c r="H842" s="17"/>
      <c r="I842" s="18" t="str">
        <f t="shared" si="13"/>
        <v/>
      </c>
      <c r="J842" s="8"/>
    </row>
    <row r="843" spans="1:10" x14ac:dyDescent="0.3">
      <c r="A843" s="9"/>
      <c r="B843" s="8"/>
      <c r="C843" s="10" t="str">
        <f>IFERROR(VLOOKUP(B843,Activos!$A$5:$C$104,3,FALSE),"")</f>
        <v/>
      </c>
      <c r="D843" s="8"/>
      <c r="E843" s="19"/>
      <c r="F843" s="20"/>
      <c r="G843" s="17"/>
      <c r="H843" s="17"/>
      <c r="I843" s="18" t="str">
        <f t="shared" si="13"/>
        <v/>
      </c>
      <c r="J843" s="8"/>
    </row>
    <row r="844" spans="1:10" x14ac:dyDescent="0.3">
      <c r="A844" s="9"/>
      <c r="B844" s="8"/>
      <c r="C844" s="10" t="str">
        <f>IFERROR(VLOOKUP(B844,Activos!$A$5:$C$104,3,FALSE),"")</f>
        <v/>
      </c>
      <c r="D844" s="8"/>
      <c r="E844" s="19"/>
      <c r="F844" s="20"/>
      <c r="G844" s="17"/>
      <c r="H844" s="17"/>
      <c r="I844" s="18" t="str">
        <f t="shared" si="13"/>
        <v/>
      </c>
      <c r="J844" s="8"/>
    </row>
    <row r="845" spans="1:10" x14ac:dyDescent="0.3">
      <c r="A845" s="9"/>
      <c r="B845" s="8"/>
      <c r="C845" s="10" t="str">
        <f>IFERROR(VLOOKUP(B845,Activos!$A$5:$C$104,3,FALSE),"")</f>
        <v/>
      </c>
      <c r="D845" s="8"/>
      <c r="E845" s="19"/>
      <c r="F845" s="20"/>
      <c r="G845" s="17"/>
      <c r="H845" s="17"/>
      <c r="I845" s="18" t="str">
        <f t="shared" si="13"/>
        <v/>
      </c>
      <c r="J845" s="8"/>
    </row>
    <row r="846" spans="1:10" x14ac:dyDescent="0.3">
      <c r="A846" s="9"/>
      <c r="B846" s="8"/>
      <c r="C846" s="10" t="str">
        <f>IFERROR(VLOOKUP(B846,Activos!$A$5:$C$104,3,FALSE),"")</f>
        <v/>
      </c>
      <c r="D846" s="8"/>
      <c r="E846" s="19"/>
      <c r="F846" s="20"/>
      <c r="G846" s="17"/>
      <c r="H846" s="17"/>
      <c r="I846" s="18" t="str">
        <f t="shared" si="13"/>
        <v/>
      </c>
      <c r="J846" s="8"/>
    </row>
    <row r="847" spans="1:10" x14ac:dyDescent="0.3">
      <c r="A847" s="9"/>
      <c r="B847" s="8"/>
      <c r="C847" s="10" t="str">
        <f>IFERROR(VLOOKUP(B847,Activos!$A$5:$C$104,3,FALSE),"")</f>
        <v/>
      </c>
      <c r="D847" s="8"/>
      <c r="E847" s="19"/>
      <c r="F847" s="20"/>
      <c r="G847" s="17"/>
      <c r="H847" s="17"/>
      <c r="I847" s="18" t="str">
        <f t="shared" si="13"/>
        <v/>
      </c>
      <c r="J847" s="8"/>
    </row>
    <row r="848" spans="1:10" x14ac:dyDescent="0.3">
      <c r="A848" s="9"/>
      <c r="B848" s="8"/>
      <c r="C848" s="10" t="str">
        <f>IFERROR(VLOOKUP(B848,Activos!$A$5:$C$104,3,FALSE),"")</f>
        <v/>
      </c>
      <c r="D848" s="8"/>
      <c r="E848" s="19"/>
      <c r="F848" s="20"/>
      <c r="G848" s="17"/>
      <c r="H848" s="17"/>
      <c r="I848" s="18" t="str">
        <f t="shared" si="13"/>
        <v/>
      </c>
      <c r="J848" s="8"/>
    </row>
    <row r="849" spans="1:10" x14ac:dyDescent="0.3">
      <c r="A849" s="9"/>
      <c r="B849" s="8"/>
      <c r="C849" s="10" t="str">
        <f>IFERROR(VLOOKUP(B849,Activos!$A$5:$C$104,3,FALSE),"")</f>
        <v/>
      </c>
      <c r="D849" s="8"/>
      <c r="E849" s="19"/>
      <c r="F849" s="20"/>
      <c r="G849" s="17"/>
      <c r="H849" s="17"/>
      <c r="I849" s="18" t="str">
        <f t="shared" si="13"/>
        <v/>
      </c>
      <c r="J849" s="8"/>
    </row>
    <row r="850" spans="1:10" x14ac:dyDescent="0.3">
      <c r="A850" s="9"/>
      <c r="B850" s="8"/>
      <c r="C850" s="10" t="str">
        <f>IFERROR(VLOOKUP(B850,Activos!$A$5:$C$104,3,FALSE),"")</f>
        <v/>
      </c>
      <c r="D850" s="8"/>
      <c r="E850" s="19"/>
      <c r="F850" s="20"/>
      <c r="G850" s="17"/>
      <c r="H850" s="17"/>
      <c r="I850" s="18" t="str">
        <f t="shared" si="13"/>
        <v/>
      </c>
      <c r="J850" s="8"/>
    </row>
    <row r="851" spans="1:10" x14ac:dyDescent="0.3">
      <c r="A851" s="9"/>
      <c r="B851" s="8"/>
      <c r="C851" s="10" t="str">
        <f>IFERROR(VLOOKUP(B851,Activos!$A$5:$C$104,3,FALSE),"")</f>
        <v/>
      </c>
      <c r="D851" s="8"/>
      <c r="E851" s="19"/>
      <c r="F851" s="20"/>
      <c r="G851" s="17"/>
      <c r="H851" s="17"/>
      <c r="I851" s="18" t="str">
        <f t="shared" si="13"/>
        <v/>
      </c>
      <c r="J851" s="8"/>
    </row>
    <row r="852" spans="1:10" x14ac:dyDescent="0.3">
      <c r="A852" s="9"/>
      <c r="B852" s="8"/>
      <c r="C852" s="10" t="str">
        <f>IFERROR(VLOOKUP(B852,Activos!$A$5:$C$104,3,FALSE),"")</f>
        <v/>
      </c>
      <c r="D852" s="8"/>
      <c r="E852" s="19"/>
      <c r="F852" s="20"/>
      <c r="G852" s="17"/>
      <c r="H852" s="17"/>
      <c r="I852" s="18" t="str">
        <f t="shared" si="13"/>
        <v/>
      </c>
      <c r="J852" s="8"/>
    </row>
    <row r="853" spans="1:10" x14ac:dyDescent="0.3">
      <c r="A853" s="9"/>
      <c r="B853" s="8"/>
      <c r="C853" s="10" t="str">
        <f>IFERROR(VLOOKUP(B853,Activos!$A$5:$C$104,3,FALSE),"")</f>
        <v/>
      </c>
      <c r="D853" s="8"/>
      <c r="E853" s="19"/>
      <c r="F853" s="20"/>
      <c r="G853" s="17"/>
      <c r="H853" s="17"/>
      <c r="I853" s="18" t="str">
        <f t="shared" si="13"/>
        <v/>
      </c>
      <c r="J853" s="8"/>
    </row>
    <row r="854" spans="1:10" x14ac:dyDescent="0.3">
      <c r="A854" s="9"/>
      <c r="B854" s="8"/>
      <c r="C854" s="10" t="str">
        <f>IFERROR(VLOOKUP(B854,Activos!$A$5:$C$104,3,FALSE),"")</f>
        <v/>
      </c>
      <c r="D854" s="8"/>
      <c r="E854" s="19"/>
      <c r="F854" s="20"/>
      <c r="G854" s="17"/>
      <c r="H854" s="17"/>
      <c r="I854" s="18" t="str">
        <f t="shared" si="13"/>
        <v/>
      </c>
      <c r="J854" s="8"/>
    </row>
    <row r="855" spans="1:10" x14ac:dyDescent="0.3">
      <c r="A855" s="9"/>
      <c r="B855" s="8"/>
      <c r="C855" s="10" t="str">
        <f>IFERROR(VLOOKUP(B855,Activos!$A$5:$C$104,3,FALSE),"")</f>
        <v/>
      </c>
      <c r="D855" s="8"/>
      <c r="E855" s="19"/>
      <c r="F855" s="20"/>
      <c r="G855" s="17"/>
      <c r="H855" s="17"/>
      <c r="I855" s="18" t="str">
        <f t="shared" si="13"/>
        <v/>
      </c>
      <c r="J855" s="8"/>
    </row>
    <row r="856" spans="1:10" x14ac:dyDescent="0.3">
      <c r="A856" s="9"/>
      <c r="B856" s="8"/>
      <c r="C856" s="10" t="str">
        <f>IFERROR(VLOOKUP(B856,Activos!$A$5:$C$104,3,FALSE),"")</f>
        <v/>
      </c>
      <c r="D856" s="8"/>
      <c r="E856" s="19"/>
      <c r="F856" s="20"/>
      <c r="G856" s="17"/>
      <c r="H856" s="17"/>
      <c r="I856" s="18" t="str">
        <f t="shared" si="13"/>
        <v/>
      </c>
      <c r="J856" s="8"/>
    </row>
    <row r="857" spans="1:10" x14ac:dyDescent="0.3">
      <c r="A857" s="9"/>
      <c r="B857" s="8"/>
      <c r="C857" s="10" t="str">
        <f>IFERROR(VLOOKUP(B857,Activos!$A$5:$C$104,3,FALSE),"")</f>
        <v/>
      </c>
      <c r="D857" s="8"/>
      <c r="E857" s="19"/>
      <c r="F857" s="20"/>
      <c r="G857" s="17"/>
      <c r="H857" s="17"/>
      <c r="I857" s="18" t="str">
        <f t="shared" si="13"/>
        <v/>
      </c>
      <c r="J857" s="8"/>
    </row>
    <row r="858" spans="1:10" x14ac:dyDescent="0.3">
      <c r="A858" s="9"/>
      <c r="B858" s="8"/>
      <c r="C858" s="10" t="str">
        <f>IFERROR(VLOOKUP(B858,Activos!$A$5:$C$104,3,FALSE),"")</f>
        <v/>
      </c>
      <c r="D858" s="8"/>
      <c r="E858" s="19"/>
      <c r="F858" s="20"/>
      <c r="G858" s="17"/>
      <c r="H858" s="17"/>
      <c r="I858" s="18" t="str">
        <f t="shared" si="13"/>
        <v/>
      </c>
      <c r="J858" s="8"/>
    </row>
    <row r="859" spans="1:10" x14ac:dyDescent="0.3">
      <c r="A859" s="9"/>
      <c r="B859" s="8"/>
      <c r="C859" s="10" t="str">
        <f>IFERROR(VLOOKUP(B859,Activos!$A$5:$C$104,3,FALSE),"")</f>
        <v/>
      </c>
      <c r="D859" s="8"/>
      <c r="E859" s="19"/>
      <c r="F859" s="20"/>
      <c r="G859" s="17"/>
      <c r="H859" s="17"/>
      <c r="I859" s="18" t="str">
        <f t="shared" si="13"/>
        <v/>
      </c>
      <c r="J859" s="8"/>
    </row>
    <row r="860" spans="1:10" x14ac:dyDescent="0.3">
      <c r="A860" s="9"/>
      <c r="B860" s="8"/>
      <c r="C860" s="10" t="str">
        <f>IFERROR(VLOOKUP(B860,Activos!$A$5:$C$104,3,FALSE),"")</f>
        <v/>
      </c>
      <c r="D860" s="8"/>
      <c r="E860" s="19"/>
      <c r="F860" s="20"/>
      <c r="G860" s="17"/>
      <c r="H860" s="17"/>
      <c r="I860" s="18" t="str">
        <f t="shared" si="13"/>
        <v/>
      </c>
      <c r="J860" s="8"/>
    </row>
    <row r="861" spans="1:10" x14ac:dyDescent="0.3">
      <c r="A861" s="9"/>
      <c r="B861" s="8"/>
      <c r="C861" s="10" t="str">
        <f>IFERROR(VLOOKUP(B861,Activos!$A$5:$C$104,3,FALSE),"")</f>
        <v/>
      </c>
      <c r="D861" s="8"/>
      <c r="E861" s="19"/>
      <c r="F861" s="20"/>
      <c r="G861" s="17"/>
      <c r="H861" s="17"/>
      <c r="I861" s="18" t="str">
        <f t="shared" si="13"/>
        <v/>
      </c>
      <c r="J861" s="8"/>
    </row>
    <row r="862" spans="1:10" x14ac:dyDescent="0.3">
      <c r="A862" s="9"/>
      <c r="B862" s="8"/>
      <c r="C862" s="10" t="str">
        <f>IFERROR(VLOOKUP(B862,Activos!$A$5:$C$104,3,FALSE),"")</f>
        <v/>
      </c>
      <c r="D862" s="8"/>
      <c r="E862" s="19"/>
      <c r="F862" s="20"/>
      <c r="G862" s="17"/>
      <c r="H862" s="17"/>
      <c r="I862" s="18" t="str">
        <f t="shared" si="13"/>
        <v/>
      </c>
      <c r="J862" s="8"/>
    </row>
    <row r="863" spans="1:10" x14ac:dyDescent="0.3">
      <c r="A863" s="9"/>
      <c r="B863" s="8"/>
      <c r="C863" s="10" t="str">
        <f>IFERROR(VLOOKUP(B863,Activos!$A$5:$C$104,3,FALSE),"")</f>
        <v/>
      </c>
      <c r="D863" s="8"/>
      <c r="E863" s="19"/>
      <c r="F863" s="20"/>
      <c r="G863" s="17"/>
      <c r="H863" s="17"/>
      <c r="I863" s="18" t="str">
        <f t="shared" si="13"/>
        <v/>
      </c>
      <c r="J863" s="8"/>
    </row>
    <row r="864" spans="1:10" x14ac:dyDescent="0.3">
      <c r="A864" s="9"/>
      <c r="B864" s="8"/>
      <c r="C864" s="10" t="str">
        <f>IFERROR(VLOOKUP(B864,Activos!$A$5:$C$104,3,FALSE),"")</f>
        <v/>
      </c>
      <c r="D864" s="8"/>
      <c r="E864" s="19"/>
      <c r="F864" s="20"/>
      <c r="G864" s="17"/>
      <c r="H864" s="17"/>
      <c r="I864" s="18" t="str">
        <f t="shared" si="13"/>
        <v/>
      </c>
      <c r="J864" s="8"/>
    </row>
    <row r="865" spans="1:10" x14ac:dyDescent="0.3">
      <c r="A865" s="9"/>
      <c r="B865" s="8"/>
      <c r="C865" s="10" t="str">
        <f>IFERROR(VLOOKUP(B865,Activos!$A$5:$C$104,3,FALSE),"")</f>
        <v/>
      </c>
      <c r="D865" s="8"/>
      <c r="E865" s="19"/>
      <c r="F865" s="20"/>
      <c r="G865" s="17"/>
      <c r="H865" s="17"/>
      <c r="I865" s="18" t="str">
        <f t="shared" si="13"/>
        <v/>
      </c>
      <c r="J865" s="8"/>
    </row>
    <row r="866" spans="1:10" x14ac:dyDescent="0.3">
      <c r="A866" s="9"/>
      <c r="B866" s="8"/>
      <c r="C866" s="10" t="str">
        <f>IFERROR(VLOOKUP(B866,Activos!$A$5:$C$104,3,FALSE),"")</f>
        <v/>
      </c>
      <c r="D866" s="8"/>
      <c r="E866" s="19"/>
      <c r="F866" s="20"/>
      <c r="G866" s="17"/>
      <c r="H866" s="17"/>
      <c r="I866" s="18" t="str">
        <f t="shared" si="13"/>
        <v/>
      </c>
      <c r="J866" s="8"/>
    </row>
    <row r="867" spans="1:10" x14ac:dyDescent="0.3">
      <c r="A867" s="9"/>
      <c r="B867" s="8"/>
      <c r="C867" s="10" t="str">
        <f>IFERROR(VLOOKUP(B867,Activos!$A$5:$C$104,3,FALSE),"")</f>
        <v/>
      </c>
      <c r="D867" s="8"/>
      <c r="E867" s="19"/>
      <c r="F867" s="20"/>
      <c r="G867" s="17"/>
      <c r="H867" s="17"/>
      <c r="I867" s="18" t="str">
        <f t="shared" si="13"/>
        <v/>
      </c>
      <c r="J867" s="8"/>
    </row>
    <row r="868" spans="1:10" x14ac:dyDescent="0.3">
      <c r="A868" s="9"/>
      <c r="B868" s="8"/>
      <c r="C868" s="10" t="str">
        <f>IFERROR(VLOOKUP(B868,Activos!$A$5:$C$104,3,FALSE),"")</f>
        <v/>
      </c>
      <c r="D868" s="8"/>
      <c r="E868" s="19"/>
      <c r="F868" s="20"/>
      <c r="G868" s="17"/>
      <c r="H868" s="17"/>
      <c r="I868" s="18" t="str">
        <f t="shared" si="13"/>
        <v/>
      </c>
      <c r="J868" s="8"/>
    </row>
    <row r="869" spans="1:10" x14ac:dyDescent="0.3">
      <c r="A869" s="9"/>
      <c r="B869" s="8"/>
      <c r="C869" s="10" t="str">
        <f>IFERROR(VLOOKUP(B869,Activos!$A$5:$C$104,3,FALSE),"")</f>
        <v/>
      </c>
      <c r="D869" s="8"/>
      <c r="E869" s="19"/>
      <c r="F869" s="20"/>
      <c r="G869" s="17"/>
      <c r="H869" s="17"/>
      <c r="I869" s="18" t="str">
        <f t="shared" si="13"/>
        <v/>
      </c>
      <c r="J869" s="8"/>
    </row>
    <row r="870" spans="1:10" x14ac:dyDescent="0.3">
      <c r="A870" s="9"/>
      <c r="B870" s="8"/>
      <c r="C870" s="10" t="str">
        <f>IFERROR(VLOOKUP(B870,Activos!$A$5:$C$104,3,FALSE),"")</f>
        <v/>
      </c>
      <c r="D870" s="8"/>
      <c r="E870" s="19"/>
      <c r="F870" s="20"/>
      <c r="G870" s="17"/>
      <c r="H870" s="17"/>
      <c r="I870" s="18" t="str">
        <f t="shared" si="13"/>
        <v/>
      </c>
      <c r="J870" s="8"/>
    </row>
    <row r="871" spans="1:10" x14ac:dyDescent="0.3">
      <c r="A871" s="9"/>
      <c r="B871" s="8"/>
      <c r="C871" s="10" t="str">
        <f>IFERROR(VLOOKUP(B871,Activos!$A$5:$C$104,3,FALSE),"")</f>
        <v/>
      </c>
      <c r="D871" s="8"/>
      <c r="E871" s="19"/>
      <c r="F871" s="20"/>
      <c r="G871" s="17"/>
      <c r="H871" s="17"/>
      <c r="I871" s="18" t="str">
        <f t="shared" si="13"/>
        <v/>
      </c>
      <c r="J871" s="8"/>
    </row>
    <row r="872" spans="1:10" x14ac:dyDescent="0.3">
      <c r="A872" s="9"/>
      <c r="B872" s="8"/>
      <c r="C872" s="10" t="str">
        <f>IFERROR(VLOOKUP(B872,Activos!$A$5:$C$104,3,FALSE),"")</f>
        <v/>
      </c>
      <c r="D872" s="8"/>
      <c r="E872" s="19"/>
      <c r="F872" s="20"/>
      <c r="G872" s="17"/>
      <c r="H872" s="17"/>
      <c r="I872" s="18" t="str">
        <f t="shared" si="13"/>
        <v/>
      </c>
      <c r="J872" s="8"/>
    </row>
    <row r="873" spans="1:10" x14ac:dyDescent="0.3">
      <c r="A873" s="9"/>
      <c r="B873" s="8"/>
      <c r="C873" s="10" t="str">
        <f>IFERROR(VLOOKUP(B873,Activos!$A$5:$C$104,3,FALSE),"")</f>
        <v/>
      </c>
      <c r="D873" s="8"/>
      <c r="E873" s="19"/>
      <c r="F873" s="20"/>
      <c r="G873" s="17"/>
      <c r="H873" s="17"/>
      <c r="I873" s="18" t="str">
        <f t="shared" si="13"/>
        <v/>
      </c>
      <c r="J873" s="8"/>
    </row>
    <row r="874" spans="1:10" x14ac:dyDescent="0.3">
      <c r="A874" s="9"/>
      <c r="B874" s="8"/>
      <c r="C874" s="10" t="str">
        <f>IFERROR(VLOOKUP(B874,Activos!$A$5:$C$104,3,FALSE),"")</f>
        <v/>
      </c>
      <c r="D874" s="8"/>
      <c r="E874" s="19"/>
      <c r="F874" s="20"/>
      <c r="G874" s="17"/>
      <c r="H874" s="17"/>
      <c r="I874" s="18" t="str">
        <f t="shared" si="13"/>
        <v/>
      </c>
      <c r="J874" s="8"/>
    </row>
    <row r="875" spans="1:10" x14ac:dyDescent="0.3">
      <c r="A875" s="9"/>
      <c r="B875" s="8"/>
      <c r="C875" s="10" t="str">
        <f>IFERROR(VLOOKUP(B875,Activos!$A$5:$C$104,3,FALSE),"")</f>
        <v/>
      </c>
      <c r="D875" s="8"/>
      <c r="E875" s="19"/>
      <c r="F875" s="20"/>
      <c r="G875" s="17"/>
      <c r="H875" s="17"/>
      <c r="I875" s="18" t="str">
        <f t="shared" si="13"/>
        <v/>
      </c>
      <c r="J875" s="8"/>
    </row>
    <row r="876" spans="1:10" x14ac:dyDescent="0.3">
      <c r="A876" s="9"/>
      <c r="B876" s="8"/>
      <c r="C876" s="10" t="str">
        <f>IFERROR(VLOOKUP(B876,Activos!$A$5:$C$104,3,FALSE),"")</f>
        <v/>
      </c>
      <c r="D876" s="8"/>
      <c r="E876" s="19"/>
      <c r="F876" s="20"/>
      <c r="G876" s="17"/>
      <c r="H876" s="17"/>
      <c r="I876" s="18" t="str">
        <f t="shared" si="13"/>
        <v/>
      </c>
      <c r="J876" s="8"/>
    </row>
    <row r="877" spans="1:10" x14ac:dyDescent="0.3">
      <c r="A877" s="9"/>
      <c r="B877" s="8"/>
      <c r="C877" s="10" t="str">
        <f>IFERROR(VLOOKUP(B877,Activos!$A$5:$C$104,3,FALSE),"")</f>
        <v/>
      </c>
      <c r="D877" s="8"/>
      <c r="E877" s="19"/>
      <c r="F877" s="20"/>
      <c r="G877" s="17"/>
      <c r="H877" s="17"/>
      <c r="I877" s="18" t="str">
        <f t="shared" si="13"/>
        <v/>
      </c>
      <c r="J877" s="8"/>
    </row>
    <row r="878" spans="1:10" x14ac:dyDescent="0.3">
      <c r="A878" s="9"/>
      <c r="B878" s="8"/>
      <c r="C878" s="10" t="str">
        <f>IFERROR(VLOOKUP(B878,Activos!$A$5:$C$104,3,FALSE),"")</f>
        <v/>
      </c>
      <c r="D878" s="8"/>
      <c r="E878" s="19"/>
      <c r="F878" s="20"/>
      <c r="G878" s="17"/>
      <c r="H878" s="17"/>
      <c r="I878" s="18" t="str">
        <f t="shared" si="13"/>
        <v/>
      </c>
      <c r="J878" s="8"/>
    </row>
    <row r="879" spans="1:10" x14ac:dyDescent="0.3">
      <c r="A879" s="9"/>
      <c r="B879" s="8"/>
      <c r="C879" s="10" t="str">
        <f>IFERROR(VLOOKUP(B879,Activos!$A$5:$C$104,3,FALSE),"")</f>
        <v/>
      </c>
      <c r="D879" s="8"/>
      <c r="E879" s="19"/>
      <c r="F879" s="20"/>
      <c r="G879" s="17"/>
      <c r="H879" s="17"/>
      <c r="I879" s="18" t="str">
        <f t="shared" si="13"/>
        <v/>
      </c>
      <c r="J879" s="8"/>
    </row>
    <row r="880" spans="1:10" x14ac:dyDescent="0.3">
      <c r="A880" s="9"/>
      <c r="B880" s="8"/>
      <c r="C880" s="10" t="str">
        <f>IFERROR(VLOOKUP(B880,Activos!$A$5:$C$104,3,FALSE),"")</f>
        <v/>
      </c>
      <c r="D880" s="8"/>
      <c r="E880" s="19"/>
      <c r="F880" s="20"/>
      <c r="G880" s="17"/>
      <c r="H880" s="17"/>
      <c r="I880" s="18" t="str">
        <f t="shared" si="13"/>
        <v/>
      </c>
      <c r="J880" s="8"/>
    </row>
    <row r="881" spans="1:10" x14ac:dyDescent="0.3">
      <c r="A881" s="9"/>
      <c r="B881" s="8"/>
      <c r="C881" s="10" t="str">
        <f>IFERROR(VLOOKUP(B881,Activos!$A$5:$C$104,3,FALSE),"")</f>
        <v/>
      </c>
      <c r="D881" s="8"/>
      <c r="E881" s="19"/>
      <c r="F881" s="20"/>
      <c r="G881" s="17"/>
      <c r="H881" s="17"/>
      <c r="I881" s="18" t="str">
        <f t="shared" si="13"/>
        <v/>
      </c>
      <c r="J881" s="8"/>
    </row>
    <row r="882" spans="1:10" x14ac:dyDescent="0.3">
      <c r="A882" s="9"/>
      <c r="B882" s="8"/>
      <c r="C882" s="10" t="str">
        <f>IFERROR(VLOOKUP(B882,Activos!$A$5:$C$104,3,FALSE),"")</f>
        <v/>
      </c>
      <c r="D882" s="8"/>
      <c r="E882" s="19"/>
      <c r="F882" s="20"/>
      <c r="G882" s="17"/>
      <c r="H882" s="17"/>
      <c r="I882" s="18" t="str">
        <f t="shared" si="13"/>
        <v/>
      </c>
      <c r="J882" s="8"/>
    </row>
    <row r="883" spans="1:10" x14ac:dyDescent="0.3">
      <c r="A883" s="9"/>
      <c r="B883" s="8"/>
      <c r="C883" s="10" t="str">
        <f>IFERROR(VLOOKUP(B883,Activos!$A$5:$C$104,3,FALSE),"")</f>
        <v/>
      </c>
      <c r="D883" s="8"/>
      <c r="E883" s="19"/>
      <c r="F883" s="20"/>
      <c r="G883" s="17"/>
      <c r="H883" s="17"/>
      <c r="I883" s="18" t="str">
        <f t="shared" si="13"/>
        <v/>
      </c>
      <c r="J883" s="8"/>
    </row>
    <row r="884" spans="1:10" x14ac:dyDescent="0.3">
      <c r="A884" s="9"/>
      <c r="B884" s="8"/>
      <c r="C884" s="10" t="str">
        <f>IFERROR(VLOOKUP(B884,Activos!$A$5:$C$104,3,FALSE),"")</f>
        <v/>
      </c>
      <c r="D884" s="8"/>
      <c r="E884" s="19"/>
      <c r="F884" s="20"/>
      <c r="G884" s="17"/>
      <c r="H884" s="17"/>
      <c r="I884" s="18" t="str">
        <f t="shared" si="13"/>
        <v/>
      </c>
      <c r="J884" s="8"/>
    </row>
    <row r="885" spans="1:10" x14ac:dyDescent="0.3">
      <c r="A885" s="9"/>
      <c r="B885" s="8"/>
      <c r="C885" s="10" t="str">
        <f>IFERROR(VLOOKUP(B885,Activos!$A$5:$C$104,3,FALSE),"")</f>
        <v/>
      </c>
      <c r="D885" s="8"/>
      <c r="E885" s="19"/>
      <c r="F885" s="20"/>
      <c r="G885" s="17"/>
      <c r="H885" s="17"/>
      <c r="I885" s="18" t="str">
        <f t="shared" si="13"/>
        <v/>
      </c>
      <c r="J885" s="8"/>
    </row>
    <row r="886" spans="1:10" x14ac:dyDescent="0.3">
      <c r="A886" s="9"/>
      <c r="B886" s="8"/>
      <c r="C886" s="10" t="str">
        <f>IFERROR(VLOOKUP(B886,Activos!$A$5:$C$104,3,FALSE),"")</f>
        <v/>
      </c>
      <c r="D886" s="8"/>
      <c r="E886" s="19"/>
      <c r="F886" s="20"/>
      <c r="G886" s="17"/>
      <c r="H886" s="17"/>
      <c r="I886" s="18" t="str">
        <f t="shared" si="13"/>
        <v/>
      </c>
      <c r="J886" s="8"/>
    </row>
    <row r="887" spans="1:10" x14ac:dyDescent="0.3">
      <c r="A887" s="9"/>
      <c r="B887" s="8"/>
      <c r="C887" s="10" t="str">
        <f>IFERROR(VLOOKUP(B887,Activos!$A$5:$C$104,3,FALSE),"")</f>
        <v/>
      </c>
      <c r="D887" s="8"/>
      <c r="E887" s="19"/>
      <c r="F887" s="20"/>
      <c r="G887" s="17"/>
      <c r="H887" s="17"/>
      <c r="I887" s="18" t="str">
        <f t="shared" si="13"/>
        <v/>
      </c>
      <c r="J887" s="8"/>
    </row>
    <row r="888" spans="1:10" x14ac:dyDescent="0.3">
      <c r="A888" s="9"/>
      <c r="B888" s="8"/>
      <c r="C888" s="10" t="str">
        <f>IFERROR(VLOOKUP(B888,Activos!$A$5:$C$104,3,FALSE),"")</f>
        <v/>
      </c>
      <c r="D888" s="8"/>
      <c r="E888" s="19"/>
      <c r="F888" s="20"/>
      <c r="G888" s="17"/>
      <c r="H888" s="17"/>
      <c r="I888" s="18" t="str">
        <f t="shared" si="13"/>
        <v/>
      </c>
      <c r="J888" s="8"/>
    </row>
    <row r="889" spans="1:10" x14ac:dyDescent="0.3">
      <c r="A889" s="9"/>
      <c r="B889" s="8"/>
      <c r="C889" s="10" t="str">
        <f>IFERROR(VLOOKUP(B889,Activos!$A$5:$C$104,3,FALSE),"")</f>
        <v/>
      </c>
      <c r="D889" s="8"/>
      <c r="E889" s="19"/>
      <c r="F889" s="20"/>
      <c r="G889" s="17"/>
      <c r="H889" s="17"/>
      <c r="I889" s="18" t="str">
        <f t="shared" si="13"/>
        <v/>
      </c>
      <c r="J889" s="8"/>
    </row>
    <row r="890" spans="1:10" x14ac:dyDescent="0.3">
      <c r="A890" s="9"/>
      <c r="B890" s="8"/>
      <c r="C890" s="10" t="str">
        <f>IFERROR(VLOOKUP(B890,Activos!$A$5:$C$104,3,FALSE),"")</f>
        <v/>
      </c>
      <c r="D890" s="8"/>
      <c r="E890" s="19"/>
      <c r="F890" s="20"/>
      <c r="G890" s="17"/>
      <c r="H890" s="17"/>
      <c r="I890" s="18" t="str">
        <f t="shared" si="13"/>
        <v/>
      </c>
      <c r="J890" s="8"/>
    </row>
    <row r="891" spans="1:10" x14ac:dyDescent="0.3">
      <c r="A891" s="9"/>
      <c r="B891" s="8"/>
      <c r="C891" s="10" t="str">
        <f>IFERROR(VLOOKUP(B891,Activos!$A$5:$C$104,3,FALSE),"")</f>
        <v/>
      </c>
      <c r="D891" s="8"/>
      <c r="E891" s="19"/>
      <c r="F891" s="20"/>
      <c r="G891" s="17"/>
      <c r="H891" s="17"/>
      <c r="I891" s="18" t="str">
        <f t="shared" si="13"/>
        <v/>
      </c>
      <c r="J891" s="8"/>
    </row>
    <row r="892" spans="1:10" x14ac:dyDescent="0.3">
      <c r="A892" s="9"/>
      <c r="B892" s="8"/>
      <c r="C892" s="10" t="str">
        <f>IFERROR(VLOOKUP(B892,Activos!$A$5:$C$104,3,FALSE),"")</f>
        <v/>
      </c>
      <c r="D892" s="8"/>
      <c r="E892" s="19"/>
      <c r="F892" s="20"/>
      <c r="G892" s="17"/>
      <c r="H892" s="17"/>
      <c r="I892" s="18" t="str">
        <f t="shared" si="13"/>
        <v/>
      </c>
      <c r="J892" s="8"/>
    </row>
    <row r="893" spans="1:10" x14ac:dyDescent="0.3">
      <c r="A893" s="9"/>
      <c r="B893" s="8"/>
      <c r="C893" s="10" t="str">
        <f>IFERROR(VLOOKUP(B893,Activos!$A$5:$C$104,3,FALSE),"")</f>
        <v/>
      </c>
      <c r="D893" s="8"/>
      <c r="E893" s="19"/>
      <c r="F893" s="20"/>
      <c r="G893" s="17"/>
      <c r="H893" s="17"/>
      <c r="I893" s="18" t="str">
        <f t="shared" si="13"/>
        <v/>
      </c>
      <c r="J893" s="8"/>
    </row>
    <row r="894" spans="1:10" x14ac:dyDescent="0.3">
      <c r="A894" s="9"/>
      <c r="B894" s="8"/>
      <c r="C894" s="10" t="str">
        <f>IFERROR(VLOOKUP(B894,Activos!$A$5:$C$104,3,FALSE),"")</f>
        <v/>
      </c>
      <c r="D894" s="8"/>
      <c r="E894" s="19"/>
      <c r="F894" s="20"/>
      <c r="G894" s="17"/>
      <c r="H894" s="17"/>
      <c r="I894" s="18" t="str">
        <f t="shared" si="13"/>
        <v/>
      </c>
      <c r="J894" s="8"/>
    </row>
    <row r="895" spans="1:10" x14ac:dyDescent="0.3">
      <c r="A895" s="9"/>
      <c r="B895" s="8"/>
      <c r="C895" s="10" t="str">
        <f>IFERROR(VLOOKUP(B895,Activos!$A$5:$C$104,3,FALSE),"")</f>
        <v/>
      </c>
      <c r="D895" s="8"/>
      <c r="E895" s="19"/>
      <c r="F895" s="20"/>
      <c r="G895" s="17"/>
      <c r="H895" s="17"/>
      <c r="I895" s="18" t="str">
        <f t="shared" si="13"/>
        <v/>
      </c>
      <c r="J895" s="8"/>
    </row>
    <row r="896" spans="1:10" x14ac:dyDescent="0.3">
      <c r="A896" s="9"/>
      <c r="B896" s="8"/>
      <c r="C896" s="10" t="str">
        <f>IFERROR(VLOOKUP(B896,Activos!$A$5:$C$104,3,FALSE),"")</f>
        <v/>
      </c>
      <c r="D896" s="8"/>
      <c r="E896" s="19"/>
      <c r="F896" s="20"/>
      <c r="G896" s="17"/>
      <c r="H896" s="17"/>
      <c r="I896" s="18" t="str">
        <f t="shared" si="13"/>
        <v/>
      </c>
      <c r="J896" s="8"/>
    </row>
    <row r="897" spans="1:10" x14ac:dyDescent="0.3">
      <c r="A897" s="9"/>
      <c r="B897" s="8"/>
      <c r="C897" s="10" t="str">
        <f>IFERROR(VLOOKUP(B897,Activos!$A$5:$C$104,3,FALSE),"")</f>
        <v/>
      </c>
      <c r="D897" s="8"/>
      <c r="E897" s="19"/>
      <c r="F897" s="20"/>
      <c r="G897" s="17"/>
      <c r="H897" s="17"/>
      <c r="I897" s="18" t="str">
        <f t="shared" si="13"/>
        <v/>
      </c>
      <c r="J897" s="8"/>
    </row>
    <row r="898" spans="1:10" x14ac:dyDescent="0.3">
      <c r="A898" s="9"/>
      <c r="B898" s="8"/>
      <c r="C898" s="10" t="str">
        <f>IFERROR(VLOOKUP(B898,Activos!$A$5:$C$104,3,FALSE),"")</f>
        <v/>
      </c>
      <c r="D898" s="8"/>
      <c r="E898" s="19"/>
      <c r="F898" s="20"/>
      <c r="G898" s="17"/>
      <c r="H898" s="17"/>
      <c r="I898" s="18" t="str">
        <f t="shared" si="13"/>
        <v/>
      </c>
      <c r="J898" s="8"/>
    </row>
    <row r="899" spans="1:10" x14ac:dyDescent="0.3">
      <c r="A899" s="9"/>
      <c r="B899" s="8"/>
      <c r="C899" s="10" t="str">
        <f>IFERROR(VLOOKUP(B899,Activos!$A$5:$C$104,3,FALSE),"")</f>
        <v/>
      </c>
      <c r="D899" s="8"/>
      <c r="E899" s="19"/>
      <c r="F899" s="20"/>
      <c r="G899" s="17"/>
      <c r="H899" s="17"/>
      <c r="I899" s="18" t="str">
        <f t="shared" si="13"/>
        <v/>
      </c>
      <c r="J899" s="8"/>
    </row>
    <row r="900" spans="1:10" x14ac:dyDescent="0.3">
      <c r="A900" s="9"/>
      <c r="B900" s="8"/>
      <c r="C900" s="10" t="str">
        <f>IFERROR(VLOOKUP(B900,Activos!$A$5:$C$104,3,FALSE),"")</f>
        <v/>
      </c>
      <c r="D900" s="8"/>
      <c r="E900" s="19"/>
      <c r="F900" s="20"/>
      <c r="G900" s="17"/>
      <c r="H900" s="17"/>
      <c r="I900" s="18" t="str">
        <f t="shared" si="13"/>
        <v/>
      </c>
      <c r="J900" s="8"/>
    </row>
    <row r="901" spans="1:10" x14ac:dyDescent="0.3">
      <c r="A901" s="9"/>
      <c r="B901" s="8"/>
      <c r="C901" s="10" t="str">
        <f>IFERROR(VLOOKUP(B901,Activos!$A$5:$C$104,3,FALSE),"")</f>
        <v/>
      </c>
      <c r="D901" s="8"/>
      <c r="E901" s="19"/>
      <c r="F901" s="20"/>
      <c r="G901" s="17"/>
      <c r="H901" s="17"/>
      <c r="I901" s="18" t="str">
        <f t="shared" ref="I901:I964" si="14">IF(OR(D901="",G901=""),"",IF(D901="COMPRA",-G901-IF(H901="",0,H901),IF(D901="VENTA",G901-IF(H901="",0,H901),"")))</f>
        <v/>
      </c>
      <c r="J901" s="8"/>
    </row>
    <row r="902" spans="1:10" x14ac:dyDescent="0.3">
      <c r="A902" s="9"/>
      <c r="B902" s="8"/>
      <c r="C902" s="10" t="str">
        <f>IFERROR(VLOOKUP(B902,Activos!$A$5:$C$104,3,FALSE),"")</f>
        <v/>
      </c>
      <c r="D902" s="8"/>
      <c r="E902" s="19"/>
      <c r="F902" s="20"/>
      <c r="G902" s="17"/>
      <c r="H902" s="17"/>
      <c r="I902" s="18" t="str">
        <f t="shared" si="14"/>
        <v/>
      </c>
      <c r="J902" s="8"/>
    </row>
    <row r="903" spans="1:10" x14ac:dyDescent="0.3">
      <c r="A903" s="9"/>
      <c r="B903" s="8"/>
      <c r="C903" s="10" t="str">
        <f>IFERROR(VLOOKUP(B903,Activos!$A$5:$C$104,3,FALSE),"")</f>
        <v/>
      </c>
      <c r="D903" s="8"/>
      <c r="E903" s="19"/>
      <c r="F903" s="20"/>
      <c r="G903" s="17"/>
      <c r="H903" s="17"/>
      <c r="I903" s="18" t="str">
        <f t="shared" si="14"/>
        <v/>
      </c>
      <c r="J903" s="8"/>
    </row>
    <row r="904" spans="1:10" x14ac:dyDescent="0.3">
      <c r="A904" s="9"/>
      <c r="B904" s="8"/>
      <c r="C904" s="10" t="str">
        <f>IFERROR(VLOOKUP(B904,Activos!$A$5:$C$104,3,FALSE),"")</f>
        <v/>
      </c>
      <c r="D904" s="8"/>
      <c r="E904" s="19"/>
      <c r="F904" s="20"/>
      <c r="G904" s="17"/>
      <c r="H904" s="17"/>
      <c r="I904" s="18" t="str">
        <f t="shared" si="14"/>
        <v/>
      </c>
      <c r="J904" s="8"/>
    </row>
    <row r="905" spans="1:10" x14ac:dyDescent="0.3">
      <c r="A905" s="9"/>
      <c r="B905" s="8"/>
      <c r="C905" s="10" t="str">
        <f>IFERROR(VLOOKUP(B905,Activos!$A$5:$C$104,3,FALSE),"")</f>
        <v/>
      </c>
      <c r="D905" s="8"/>
      <c r="E905" s="19"/>
      <c r="F905" s="20"/>
      <c r="G905" s="17"/>
      <c r="H905" s="17"/>
      <c r="I905" s="18" t="str">
        <f t="shared" si="14"/>
        <v/>
      </c>
      <c r="J905" s="8"/>
    </row>
    <row r="906" spans="1:10" x14ac:dyDescent="0.3">
      <c r="A906" s="9"/>
      <c r="B906" s="8"/>
      <c r="C906" s="10" t="str">
        <f>IFERROR(VLOOKUP(B906,Activos!$A$5:$C$104,3,FALSE),"")</f>
        <v/>
      </c>
      <c r="D906" s="8"/>
      <c r="E906" s="19"/>
      <c r="F906" s="20"/>
      <c r="G906" s="17"/>
      <c r="H906" s="17"/>
      <c r="I906" s="18" t="str">
        <f t="shared" si="14"/>
        <v/>
      </c>
      <c r="J906" s="8"/>
    </row>
    <row r="907" spans="1:10" x14ac:dyDescent="0.3">
      <c r="A907" s="9"/>
      <c r="B907" s="8"/>
      <c r="C907" s="10" t="str">
        <f>IFERROR(VLOOKUP(B907,Activos!$A$5:$C$104,3,FALSE),"")</f>
        <v/>
      </c>
      <c r="D907" s="8"/>
      <c r="E907" s="19"/>
      <c r="F907" s="20"/>
      <c r="G907" s="17"/>
      <c r="H907" s="17"/>
      <c r="I907" s="18" t="str">
        <f t="shared" si="14"/>
        <v/>
      </c>
      <c r="J907" s="8"/>
    </row>
    <row r="908" spans="1:10" x14ac:dyDescent="0.3">
      <c r="A908" s="9"/>
      <c r="B908" s="8"/>
      <c r="C908" s="10" t="str">
        <f>IFERROR(VLOOKUP(B908,Activos!$A$5:$C$104,3,FALSE),"")</f>
        <v/>
      </c>
      <c r="D908" s="8"/>
      <c r="E908" s="19"/>
      <c r="F908" s="20"/>
      <c r="G908" s="17"/>
      <c r="H908" s="17"/>
      <c r="I908" s="18" t="str">
        <f t="shared" si="14"/>
        <v/>
      </c>
      <c r="J908" s="8"/>
    </row>
    <row r="909" spans="1:10" x14ac:dyDescent="0.3">
      <c r="A909" s="9"/>
      <c r="B909" s="8"/>
      <c r="C909" s="10" t="str">
        <f>IFERROR(VLOOKUP(B909,Activos!$A$5:$C$104,3,FALSE),"")</f>
        <v/>
      </c>
      <c r="D909" s="8"/>
      <c r="E909" s="19"/>
      <c r="F909" s="20"/>
      <c r="G909" s="17"/>
      <c r="H909" s="17"/>
      <c r="I909" s="18" t="str">
        <f t="shared" si="14"/>
        <v/>
      </c>
      <c r="J909" s="8"/>
    </row>
    <row r="910" spans="1:10" x14ac:dyDescent="0.3">
      <c r="A910" s="9"/>
      <c r="B910" s="8"/>
      <c r="C910" s="10" t="str">
        <f>IFERROR(VLOOKUP(B910,Activos!$A$5:$C$104,3,FALSE),"")</f>
        <v/>
      </c>
      <c r="D910" s="8"/>
      <c r="E910" s="19"/>
      <c r="F910" s="20"/>
      <c r="G910" s="17"/>
      <c r="H910" s="17"/>
      <c r="I910" s="18" t="str">
        <f t="shared" si="14"/>
        <v/>
      </c>
      <c r="J910" s="8"/>
    </row>
    <row r="911" spans="1:10" x14ac:dyDescent="0.3">
      <c r="A911" s="9"/>
      <c r="B911" s="8"/>
      <c r="C911" s="10" t="str">
        <f>IFERROR(VLOOKUP(B911,Activos!$A$5:$C$104,3,FALSE),"")</f>
        <v/>
      </c>
      <c r="D911" s="8"/>
      <c r="E911" s="19"/>
      <c r="F911" s="20"/>
      <c r="G911" s="17"/>
      <c r="H911" s="17"/>
      <c r="I911" s="18" t="str">
        <f t="shared" si="14"/>
        <v/>
      </c>
      <c r="J911" s="8"/>
    </row>
    <row r="912" spans="1:10" x14ac:dyDescent="0.3">
      <c r="A912" s="9"/>
      <c r="B912" s="8"/>
      <c r="C912" s="10" t="str">
        <f>IFERROR(VLOOKUP(B912,Activos!$A$5:$C$104,3,FALSE),"")</f>
        <v/>
      </c>
      <c r="D912" s="8"/>
      <c r="E912" s="19"/>
      <c r="F912" s="20"/>
      <c r="G912" s="17"/>
      <c r="H912" s="17"/>
      <c r="I912" s="18" t="str">
        <f t="shared" si="14"/>
        <v/>
      </c>
      <c r="J912" s="8"/>
    </row>
    <row r="913" spans="1:10" x14ac:dyDescent="0.3">
      <c r="A913" s="9"/>
      <c r="B913" s="8"/>
      <c r="C913" s="10" t="str">
        <f>IFERROR(VLOOKUP(B913,Activos!$A$5:$C$104,3,FALSE),"")</f>
        <v/>
      </c>
      <c r="D913" s="8"/>
      <c r="E913" s="19"/>
      <c r="F913" s="20"/>
      <c r="G913" s="17"/>
      <c r="H913" s="17"/>
      <c r="I913" s="18" t="str">
        <f t="shared" si="14"/>
        <v/>
      </c>
      <c r="J913" s="8"/>
    </row>
    <row r="914" spans="1:10" x14ac:dyDescent="0.3">
      <c r="A914" s="9"/>
      <c r="B914" s="8"/>
      <c r="C914" s="10" t="str">
        <f>IFERROR(VLOOKUP(B914,Activos!$A$5:$C$104,3,FALSE),"")</f>
        <v/>
      </c>
      <c r="D914" s="8"/>
      <c r="E914" s="19"/>
      <c r="F914" s="20"/>
      <c r="G914" s="17"/>
      <c r="H914" s="17"/>
      <c r="I914" s="18" t="str">
        <f t="shared" si="14"/>
        <v/>
      </c>
      <c r="J914" s="8"/>
    </row>
    <row r="915" spans="1:10" x14ac:dyDescent="0.3">
      <c r="A915" s="9"/>
      <c r="B915" s="8"/>
      <c r="C915" s="10" t="str">
        <f>IFERROR(VLOOKUP(B915,Activos!$A$5:$C$104,3,FALSE),"")</f>
        <v/>
      </c>
      <c r="D915" s="8"/>
      <c r="E915" s="19"/>
      <c r="F915" s="20"/>
      <c r="G915" s="17"/>
      <c r="H915" s="17"/>
      <c r="I915" s="18" t="str">
        <f t="shared" si="14"/>
        <v/>
      </c>
      <c r="J915" s="8"/>
    </row>
    <row r="916" spans="1:10" x14ac:dyDescent="0.3">
      <c r="A916" s="9"/>
      <c r="B916" s="8"/>
      <c r="C916" s="10" t="str">
        <f>IFERROR(VLOOKUP(B916,Activos!$A$5:$C$104,3,FALSE),"")</f>
        <v/>
      </c>
      <c r="D916" s="8"/>
      <c r="E916" s="19"/>
      <c r="F916" s="20"/>
      <c r="G916" s="17"/>
      <c r="H916" s="17"/>
      <c r="I916" s="18" t="str">
        <f t="shared" si="14"/>
        <v/>
      </c>
      <c r="J916" s="8"/>
    </row>
    <row r="917" spans="1:10" x14ac:dyDescent="0.3">
      <c r="A917" s="9"/>
      <c r="B917" s="8"/>
      <c r="C917" s="10" t="str">
        <f>IFERROR(VLOOKUP(B917,Activos!$A$5:$C$104,3,FALSE),"")</f>
        <v/>
      </c>
      <c r="D917" s="8"/>
      <c r="E917" s="19"/>
      <c r="F917" s="20"/>
      <c r="G917" s="17"/>
      <c r="H917" s="17"/>
      <c r="I917" s="18" t="str">
        <f t="shared" si="14"/>
        <v/>
      </c>
      <c r="J917" s="8"/>
    </row>
    <row r="918" spans="1:10" x14ac:dyDescent="0.3">
      <c r="A918" s="9"/>
      <c r="B918" s="8"/>
      <c r="C918" s="10" t="str">
        <f>IFERROR(VLOOKUP(B918,Activos!$A$5:$C$104,3,FALSE),"")</f>
        <v/>
      </c>
      <c r="D918" s="8"/>
      <c r="E918" s="19"/>
      <c r="F918" s="20"/>
      <c r="G918" s="17"/>
      <c r="H918" s="17"/>
      <c r="I918" s="18" t="str">
        <f t="shared" si="14"/>
        <v/>
      </c>
      <c r="J918" s="8"/>
    </row>
    <row r="919" spans="1:10" x14ac:dyDescent="0.3">
      <c r="A919" s="9"/>
      <c r="B919" s="8"/>
      <c r="C919" s="10" t="str">
        <f>IFERROR(VLOOKUP(B919,Activos!$A$5:$C$104,3,FALSE),"")</f>
        <v/>
      </c>
      <c r="D919" s="8"/>
      <c r="E919" s="19"/>
      <c r="F919" s="20"/>
      <c r="G919" s="17"/>
      <c r="H919" s="17"/>
      <c r="I919" s="18" t="str">
        <f t="shared" si="14"/>
        <v/>
      </c>
      <c r="J919" s="8"/>
    </row>
    <row r="920" spans="1:10" x14ac:dyDescent="0.3">
      <c r="A920" s="9"/>
      <c r="B920" s="8"/>
      <c r="C920" s="10" t="str">
        <f>IFERROR(VLOOKUP(B920,Activos!$A$5:$C$104,3,FALSE),"")</f>
        <v/>
      </c>
      <c r="D920" s="8"/>
      <c r="E920" s="19"/>
      <c r="F920" s="20"/>
      <c r="G920" s="17"/>
      <c r="H920" s="17"/>
      <c r="I920" s="18" t="str">
        <f t="shared" si="14"/>
        <v/>
      </c>
      <c r="J920" s="8"/>
    </row>
    <row r="921" spans="1:10" x14ac:dyDescent="0.3">
      <c r="A921" s="9"/>
      <c r="B921" s="8"/>
      <c r="C921" s="10" t="str">
        <f>IFERROR(VLOOKUP(B921,Activos!$A$5:$C$104,3,FALSE),"")</f>
        <v/>
      </c>
      <c r="D921" s="8"/>
      <c r="E921" s="19"/>
      <c r="F921" s="20"/>
      <c r="G921" s="17"/>
      <c r="H921" s="17"/>
      <c r="I921" s="18" t="str">
        <f t="shared" si="14"/>
        <v/>
      </c>
      <c r="J921" s="8"/>
    </row>
    <row r="922" spans="1:10" x14ac:dyDescent="0.3">
      <c r="A922" s="9"/>
      <c r="B922" s="8"/>
      <c r="C922" s="10" t="str">
        <f>IFERROR(VLOOKUP(B922,Activos!$A$5:$C$104,3,FALSE),"")</f>
        <v/>
      </c>
      <c r="D922" s="8"/>
      <c r="E922" s="19"/>
      <c r="F922" s="20"/>
      <c r="G922" s="17"/>
      <c r="H922" s="17"/>
      <c r="I922" s="18" t="str">
        <f t="shared" si="14"/>
        <v/>
      </c>
      <c r="J922" s="8"/>
    </row>
    <row r="923" spans="1:10" x14ac:dyDescent="0.3">
      <c r="A923" s="9"/>
      <c r="B923" s="8"/>
      <c r="C923" s="10" t="str">
        <f>IFERROR(VLOOKUP(B923,Activos!$A$5:$C$104,3,FALSE),"")</f>
        <v/>
      </c>
      <c r="D923" s="8"/>
      <c r="E923" s="19"/>
      <c r="F923" s="20"/>
      <c r="G923" s="17"/>
      <c r="H923" s="17"/>
      <c r="I923" s="18" t="str">
        <f t="shared" si="14"/>
        <v/>
      </c>
      <c r="J923" s="8"/>
    </row>
    <row r="924" spans="1:10" x14ac:dyDescent="0.3">
      <c r="A924" s="9"/>
      <c r="B924" s="8"/>
      <c r="C924" s="10" t="str">
        <f>IFERROR(VLOOKUP(B924,Activos!$A$5:$C$104,3,FALSE),"")</f>
        <v/>
      </c>
      <c r="D924" s="8"/>
      <c r="E924" s="19"/>
      <c r="F924" s="20"/>
      <c r="G924" s="17"/>
      <c r="H924" s="17"/>
      <c r="I924" s="18" t="str">
        <f t="shared" si="14"/>
        <v/>
      </c>
      <c r="J924" s="8"/>
    </row>
    <row r="925" spans="1:10" x14ac:dyDescent="0.3">
      <c r="A925" s="9"/>
      <c r="B925" s="8"/>
      <c r="C925" s="10" t="str">
        <f>IFERROR(VLOOKUP(B925,Activos!$A$5:$C$104,3,FALSE),"")</f>
        <v/>
      </c>
      <c r="D925" s="8"/>
      <c r="E925" s="19"/>
      <c r="F925" s="20"/>
      <c r="G925" s="17"/>
      <c r="H925" s="17"/>
      <c r="I925" s="18" t="str">
        <f t="shared" si="14"/>
        <v/>
      </c>
      <c r="J925" s="8"/>
    </row>
    <row r="926" spans="1:10" x14ac:dyDescent="0.3">
      <c r="A926" s="9"/>
      <c r="B926" s="8"/>
      <c r="C926" s="10" t="str">
        <f>IFERROR(VLOOKUP(B926,Activos!$A$5:$C$104,3,FALSE),"")</f>
        <v/>
      </c>
      <c r="D926" s="8"/>
      <c r="E926" s="19"/>
      <c r="F926" s="20"/>
      <c r="G926" s="17"/>
      <c r="H926" s="17"/>
      <c r="I926" s="18" t="str">
        <f t="shared" si="14"/>
        <v/>
      </c>
      <c r="J926" s="8"/>
    </row>
    <row r="927" spans="1:10" x14ac:dyDescent="0.3">
      <c r="A927" s="9"/>
      <c r="B927" s="8"/>
      <c r="C927" s="10" t="str">
        <f>IFERROR(VLOOKUP(B927,Activos!$A$5:$C$104,3,FALSE),"")</f>
        <v/>
      </c>
      <c r="D927" s="8"/>
      <c r="E927" s="19"/>
      <c r="F927" s="20"/>
      <c r="G927" s="17"/>
      <c r="H927" s="17"/>
      <c r="I927" s="18" t="str">
        <f t="shared" si="14"/>
        <v/>
      </c>
      <c r="J927" s="8"/>
    </row>
    <row r="928" spans="1:10" x14ac:dyDescent="0.3">
      <c r="A928" s="9"/>
      <c r="B928" s="8"/>
      <c r="C928" s="10" t="str">
        <f>IFERROR(VLOOKUP(B928,Activos!$A$5:$C$104,3,FALSE),"")</f>
        <v/>
      </c>
      <c r="D928" s="8"/>
      <c r="E928" s="19"/>
      <c r="F928" s="20"/>
      <c r="G928" s="17"/>
      <c r="H928" s="17"/>
      <c r="I928" s="18" t="str">
        <f t="shared" si="14"/>
        <v/>
      </c>
      <c r="J928" s="8"/>
    </row>
    <row r="929" spans="1:10" x14ac:dyDescent="0.3">
      <c r="A929" s="9"/>
      <c r="B929" s="8"/>
      <c r="C929" s="10" t="str">
        <f>IFERROR(VLOOKUP(B929,Activos!$A$5:$C$104,3,FALSE),"")</f>
        <v/>
      </c>
      <c r="D929" s="8"/>
      <c r="E929" s="19"/>
      <c r="F929" s="20"/>
      <c r="G929" s="17"/>
      <c r="H929" s="17"/>
      <c r="I929" s="18" t="str">
        <f t="shared" si="14"/>
        <v/>
      </c>
      <c r="J929" s="8"/>
    </row>
    <row r="930" spans="1:10" x14ac:dyDescent="0.3">
      <c r="A930" s="9"/>
      <c r="B930" s="8"/>
      <c r="C930" s="10" t="str">
        <f>IFERROR(VLOOKUP(B930,Activos!$A$5:$C$104,3,FALSE),"")</f>
        <v/>
      </c>
      <c r="D930" s="8"/>
      <c r="E930" s="19"/>
      <c r="F930" s="20"/>
      <c r="G930" s="17"/>
      <c r="H930" s="17"/>
      <c r="I930" s="18" t="str">
        <f t="shared" si="14"/>
        <v/>
      </c>
      <c r="J930" s="8"/>
    </row>
    <row r="931" spans="1:10" x14ac:dyDescent="0.3">
      <c r="A931" s="9"/>
      <c r="B931" s="8"/>
      <c r="C931" s="10" t="str">
        <f>IFERROR(VLOOKUP(B931,Activos!$A$5:$C$104,3,FALSE),"")</f>
        <v/>
      </c>
      <c r="D931" s="8"/>
      <c r="E931" s="19"/>
      <c r="F931" s="20"/>
      <c r="G931" s="17"/>
      <c r="H931" s="17"/>
      <c r="I931" s="18" t="str">
        <f t="shared" si="14"/>
        <v/>
      </c>
      <c r="J931" s="8"/>
    </row>
    <row r="932" spans="1:10" x14ac:dyDescent="0.3">
      <c r="A932" s="9"/>
      <c r="B932" s="8"/>
      <c r="C932" s="10" t="str">
        <f>IFERROR(VLOOKUP(B932,Activos!$A$5:$C$104,3,FALSE),"")</f>
        <v/>
      </c>
      <c r="D932" s="8"/>
      <c r="E932" s="19"/>
      <c r="F932" s="20"/>
      <c r="G932" s="17"/>
      <c r="H932" s="17"/>
      <c r="I932" s="18" t="str">
        <f t="shared" si="14"/>
        <v/>
      </c>
      <c r="J932" s="8"/>
    </row>
    <row r="933" spans="1:10" x14ac:dyDescent="0.3">
      <c r="A933" s="9"/>
      <c r="B933" s="8"/>
      <c r="C933" s="10" t="str">
        <f>IFERROR(VLOOKUP(B933,Activos!$A$5:$C$104,3,FALSE),"")</f>
        <v/>
      </c>
      <c r="D933" s="8"/>
      <c r="E933" s="19"/>
      <c r="F933" s="20"/>
      <c r="G933" s="17"/>
      <c r="H933" s="17"/>
      <c r="I933" s="18" t="str">
        <f t="shared" si="14"/>
        <v/>
      </c>
      <c r="J933" s="8"/>
    </row>
    <row r="934" spans="1:10" x14ac:dyDescent="0.3">
      <c r="A934" s="9"/>
      <c r="B934" s="8"/>
      <c r="C934" s="10" t="str">
        <f>IFERROR(VLOOKUP(B934,Activos!$A$5:$C$104,3,FALSE),"")</f>
        <v/>
      </c>
      <c r="D934" s="8"/>
      <c r="E934" s="19"/>
      <c r="F934" s="20"/>
      <c r="G934" s="17"/>
      <c r="H934" s="17"/>
      <c r="I934" s="18" t="str">
        <f t="shared" si="14"/>
        <v/>
      </c>
      <c r="J934" s="8"/>
    </row>
    <row r="935" spans="1:10" x14ac:dyDescent="0.3">
      <c r="A935" s="9"/>
      <c r="B935" s="8"/>
      <c r="C935" s="10" t="str">
        <f>IFERROR(VLOOKUP(B935,Activos!$A$5:$C$104,3,FALSE),"")</f>
        <v/>
      </c>
      <c r="D935" s="8"/>
      <c r="E935" s="19"/>
      <c r="F935" s="20"/>
      <c r="G935" s="17"/>
      <c r="H935" s="17"/>
      <c r="I935" s="18" t="str">
        <f t="shared" si="14"/>
        <v/>
      </c>
      <c r="J935" s="8"/>
    </row>
    <row r="936" spans="1:10" x14ac:dyDescent="0.3">
      <c r="A936" s="9"/>
      <c r="B936" s="8"/>
      <c r="C936" s="10" t="str">
        <f>IFERROR(VLOOKUP(B936,Activos!$A$5:$C$104,3,FALSE),"")</f>
        <v/>
      </c>
      <c r="D936" s="8"/>
      <c r="E936" s="19"/>
      <c r="F936" s="20"/>
      <c r="G936" s="17"/>
      <c r="H936" s="17"/>
      <c r="I936" s="18" t="str">
        <f t="shared" si="14"/>
        <v/>
      </c>
      <c r="J936" s="8"/>
    </row>
    <row r="937" spans="1:10" x14ac:dyDescent="0.3">
      <c r="A937" s="9"/>
      <c r="B937" s="8"/>
      <c r="C937" s="10" t="str">
        <f>IFERROR(VLOOKUP(B937,Activos!$A$5:$C$104,3,FALSE),"")</f>
        <v/>
      </c>
      <c r="D937" s="8"/>
      <c r="E937" s="19"/>
      <c r="F937" s="20"/>
      <c r="G937" s="17"/>
      <c r="H937" s="17"/>
      <c r="I937" s="18" t="str">
        <f t="shared" si="14"/>
        <v/>
      </c>
      <c r="J937" s="8"/>
    </row>
    <row r="938" spans="1:10" x14ac:dyDescent="0.3">
      <c r="A938" s="9"/>
      <c r="B938" s="8"/>
      <c r="C938" s="10" t="str">
        <f>IFERROR(VLOOKUP(B938,Activos!$A$5:$C$104,3,FALSE),"")</f>
        <v/>
      </c>
      <c r="D938" s="8"/>
      <c r="E938" s="19"/>
      <c r="F938" s="20"/>
      <c r="G938" s="17"/>
      <c r="H938" s="17"/>
      <c r="I938" s="18" t="str">
        <f t="shared" si="14"/>
        <v/>
      </c>
      <c r="J938" s="8"/>
    </row>
    <row r="939" spans="1:10" x14ac:dyDescent="0.3">
      <c r="A939" s="9"/>
      <c r="B939" s="8"/>
      <c r="C939" s="10" t="str">
        <f>IFERROR(VLOOKUP(B939,Activos!$A$5:$C$104,3,FALSE),"")</f>
        <v/>
      </c>
      <c r="D939" s="8"/>
      <c r="E939" s="19"/>
      <c r="F939" s="20"/>
      <c r="G939" s="17"/>
      <c r="H939" s="17"/>
      <c r="I939" s="18" t="str">
        <f t="shared" si="14"/>
        <v/>
      </c>
      <c r="J939" s="8"/>
    </row>
    <row r="940" spans="1:10" x14ac:dyDescent="0.3">
      <c r="A940" s="9"/>
      <c r="B940" s="8"/>
      <c r="C940" s="10" t="str">
        <f>IFERROR(VLOOKUP(B940,Activos!$A$5:$C$104,3,FALSE),"")</f>
        <v/>
      </c>
      <c r="D940" s="8"/>
      <c r="E940" s="19"/>
      <c r="F940" s="20"/>
      <c r="G940" s="17"/>
      <c r="H940" s="17"/>
      <c r="I940" s="18" t="str">
        <f t="shared" si="14"/>
        <v/>
      </c>
      <c r="J940" s="8"/>
    </row>
    <row r="941" spans="1:10" x14ac:dyDescent="0.3">
      <c r="A941" s="9"/>
      <c r="B941" s="8"/>
      <c r="C941" s="10" t="str">
        <f>IFERROR(VLOOKUP(B941,Activos!$A$5:$C$104,3,FALSE),"")</f>
        <v/>
      </c>
      <c r="D941" s="8"/>
      <c r="E941" s="19"/>
      <c r="F941" s="20"/>
      <c r="G941" s="17"/>
      <c r="H941" s="17"/>
      <c r="I941" s="18" t="str">
        <f t="shared" si="14"/>
        <v/>
      </c>
      <c r="J941" s="8"/>
    </row>
    <row r="942" spans="1:10" x14ac:dyDescent="0.3">
      <c r="A942" s="9"/>
      <c r="B942" s="8"/>
      <c r="C942" s="10" t="str">
        <f>IFERROR(VLOOKUP(B942,Activos!$A$5:$C$104,3,FALSE),"")</f>
        <v/>
      </c>
      <c r="D942" s="8"/>
      <c r="E942" s="19"/>
      <c r="F942" s="20"/>
      <c r="G942" s="17"/>
      <c r="H942" s="17"/>
      <c r="I942" s="18" t="str">
        <f t="shared" si="14"/>
        <v/>
      </c>
      <c r="J942" s="8"/>
    </row>
    <row r="943" spans="1:10" x14ac:dyDescent="0.3">
      <c r="A943" s="9"/>
      <c r="B943" s="8"/>
      <c r="C943" s="10" t="str">
        <f>IFERROR(VLOOKUP(B943,Activos!$A$5:$C$104,3,FALSE),"")</f>
        <v/>
      </c>
      <c r="D943" s="8"/>
      <c r="E943" s="19"/>
      <c r="F943" s="20"/>
      <c r="G943" s="17"/>
      <c r="H943" s="17"/>
      <c r="I943" s="18" t="str">
        <f t="shared" si="14"/>
        <v/>
      </c>
      <c r="J943" s="8"/>
    </row>
    <row r="944" spans="1:10" x14ac:dyDescent="0.3">
      <c r="A944" s="9"/>
      <c r="B944" s="8"/>
      <c r="C944" s="10" t="str">
        <f>IFERROR(VLOOKUP(B944,Activos!$A$5:$C$104,3,FALSE),"")</f>
        <v/>
      </c>
      <c r="D944" s="8"/>
      <c r="E944" s="19"/>
      <c r="F944" s="20"/>
      <c r="G944" s="17"/>
      <c r="H944" s="17"/>
      <c r="I944" s="18" t="str">
        <f t="shared" si="14"/>
        <v/>
      </c>
      <c r="J944" s="8"/>
    </row>
    <row r="945" spans="1:10" x14ac:dyDescent="0.3">
      <c r="A945" s="9"/>
      <c r="B945" s="8"/>
      <c r="C945" s="10" t="str">
        <f>IFERROR(VLOOKUP(B945,Activos!$A$5:$C$104,3,FALSE),"")</f>
        <v/>
      </c>
      <c r="D945" s="8"/>
      <c r="E945" s="19"/>
      <c r="F945" s="20"/>
      <c r="G945" s="17"/>
      <c r="H945" s="17"/>
      <c r="I945" s="18" t="str">
        <f t="shared" si="14"/>
        <v/>
      </c>
      <c r="J945" s="8"/>
    </row>
    <row r="946" spans="1:10" x14ac:dyDescent="0.3">
      <c r="A946" s="9"/>
      <c r="B946" s="8"/>
      <c r="C946" s="10" t="str">
        <f>IFERROR(VLOOKUP(B946,Activos!$A$5:$C$104,3,FALSE),"")</f>
        <v/>
      </c>
      <c r="D946" s="8"/>
      <c r="E946" s="19"/>
      <c r="F946" s="20"/>
      <c r="G946" s="17"/>
      <c r="H946" s="17"/>
      <c r="I946" s="18" t="str">
        <f t="shared" si="14"/>
        <v/>
      </c>
      <c r="J946" s="8"/>
    </row>
    <row r="947" spans="1:10" x14ac:dyDescent="0.3">
      <c r="A947" s="9"/>
      <c r="B947" s="8"/>
      <c r="C947" s="10" t="str">
        <f>IFERROR(VLOOKUP(B947,Activos!$A$5:$C$104,3,FALSE),"")</f>
        <v/>
      </c>
      <c r="D947" s="8"/>
      <c r="E947" s="19"/>
      <c r="F947" s="20"/>
      <c r="G947" s="17"/>
      <c r="H947" s="17"/>
      <c r="I947" s="18" t="str">
        <f t="shared" si="14"/>
        <v/>
      </c>
      <c r="J947" s="8"/>
    </row>
    <row r="948" spans="1:10" x14ac:dyDescent="0.3">
      <c r="A948" s="9"/>
      <c r="B948" s="8"/>
      <c r="C948" s="10" t="str">
        <f>IFERROR(VLOOKUP(B948,Activos!$A$5:$C$104,3,FALSE),"")</f>
        <v/>
      </c>
      <c r="D948" s="8"/>
      <c r="E948" s="19"/>
      <c r="F948" s="20"/>
      <c r="G948" s="17"/>
      <c r="H948" s="17"/>
      <c r="I948" s="18" t="str">
        <f t="shared" si="14"/>
        <v/>
      </c>
      <c r="J948" s="8"/>
    </row>
    <row r="949" spans="1:10" x14ac:dyDescent="0.3">
      <c r="A949" s="9"/>
      <c r="B949" s="8"/>
      <c r="C949" s="10" t="str">
        <f>IFERROR(VLOOKUP(B949,Activos!$A$5:$C$104,3,FALSE),"")</f>
        <v/>
      </c>
      <c r="D949" s="8"/>
      <c r="E949" s="19"/>
      <c r="F949" s="20"/>
      <c r="G949" s="17"/>
      <c r="H949" s="17"/>
      <c r="I949" s="18" t="str">
        <f t="shared" si="14"/>
        <v/>
      </c>
      <c r="J949" s="8"/>
    </row>
    <row r="950" spans="1:10" x14ac:dyDescent="0.3">
      <c r="A950" s="9"/>
      <c r="B950" s="8"/>
      <c r="C950" s="10" t="str">
        <f>IFERROR(VLOOKUP(B950,Activos!$A$5:$C$104,3,FALSE),"")</f>
        <v/>
      </c>
      <c r="D950" s="8"/>
      <c r="E950" s="19"/>
      <c r="F950" s="20"/>
      <c r="G950" s="17"/>
      <c r="H950" s="17"/>
      <c r="I950" s="18" t="str">
        <f t="shared" si="14"/>
        <v/>
      </c>
      <c r="J950" s="8"/>
    </row>
    <row r="951" spans="1:10" x14ac:dyDescent="0.3">
      <c r="A951" s="9"/>
      <c r="B951" s="8"/>
      <c r="C951" s="10" t="str">
        <f>IFERROR(VLOOKUP(B951,Activos!$A$5:$C$104,3,FALSE),"")</f>
        <v/>
      </c>
      <c r="D951" s="8"/>
      <c r="E951" s="19"/>
      <c r="F951" s="20"/>
      <c r="G951" s="17"/>
      <c r="H951" s="17"/>
      <c r="I951" s="18" t="str">
        <f t="shared" si="14"/>
        <v/>
      </c>
      <c r="J951" s="8"/>
    </row>
    <row r="952" spans="1:10" x14ac:dyDescent="0.3">
      <c r="A952" s="9"/>
      <c r="B952" s="8"/>
      <c r="C952" s="10" t="str">
        <f>IFERROR(VLOOKUP(B952,Activos!$A$5:$C$104,3,FALSE),"")</f>
        <v/>
      </c>
      <c r="D952" s="8"/>
      <c r="E952" s="19"/>
      <c r="F952" s="20"/>
      <c r="G952" s="17"/>
      <c r="H952" s="17"/>
      <c r="I952" s="18" t="str">
        <f t="shared" si="14"/>
        <v/>
      </c>
      <c r="J952" s="8"/>
    </row>
    <row r="953" spans="1:10" x14ac:dyDescent="0.3">
      <c r="A953" s="9"/>
      <c r="B953" s="8"/>
      <c r="C953" s="10" t="str">
        <f>IFERROR(VLOOKUP(B953,Activos!$A$5:$C$104,3,FALSE),"")</f>
        <v/>
      </c>
      <c r="D953" s="8"/>
      <c r="E953" s="19"/>
      <c r="F953" s="20"/>
      <c r="G953" s="17"/>
      <c r="H953" s="17"/>
      <c r="I953" s="18" t="str">
        <f t="shared" si="14"/>
        <v/>
      </c>
      <c r="J953" s="8"/>
    </row>
    <row r="954" spans="1:10" x14ac:dyDescent="0.3">
      <c r="A954" s="9"/>
      <c r="B954" s="8"/>
      <c r="C954" s="10" t="str">
        <f>IFERROR(VLOOKUP(B954,Activos!$A$5:$C$104,3,FALSE),"")</f>
        <v/>
      </c>
      <c r="D954" s="8"/>
      <c r="E954" s="19"/>
      <c r="F954" s="20"/>
      <c r="G954" s="17"/>
      <c r="H954" s="17"/>
      <c r="I954" s="18" t="str">
        <f t="shared" si="14"/>
        <v/>
      </c>
      <c r="J954" s="8"/>
    </row>
    <row r="955" spans="1:10" x14ac:dyDescent="0.3">
      <c r="A955" s="9"/>
      <c r="B955" s="8"/>
      <c r="C955" s="10" t="str">
        <f>IFERROR(VLOOKUP(B955,Activos!$A$5:$C$104,3,FALSE),"")</f>
        <v/>
      </c>
      <c r="D955" s="8"/>
      <c r="E955" s="19"/>
      <c r="F955" s="20"/>
      <c r="G955" s="17"/>
      <c r="H955" s="17"/>
      <c r="I955" s="18" t="str">
        <f t="shared" si="14"/>
        <v/>
      </c>
      <c r="J955" s="8"/>
    </row>
    <row r="956" spans="1:10" x14ac:dyDescent="0.3">
      <c r="A956" s="9"/>
      <c r="B956" s="8"/>
      <c r="C956" s="10" t="str">
        <f>IFERROR(VLOOKUP(B956,Activos!$A$5:$C$104,3,FALSE),"")</f>
        <v/>
      </c>
      <c r="D956" s="8"/>
      <c r="E956" s="19"/>
      <c r="F956" s="20"/>
      <c r="G956" s="17"/>
      <c r="H956" s="17"/>
      <c r="I956" s="18" t="str">
        <f t="shared" si="14"/>
        <v/>
      </c>
      <c r="J956" s="8"/>
    </row>
    <row r="957" spans="1:10" x14ac:dyDescent="0.3">
      <c r="A957" s="9"/>
      <c r="B957" s="8"/>
      <c r="C957" s="10" t="str">
        <f>IFERROR(VLOOKUP(B957,Activos!$A$5:$C$104,3,FALSE),"")</f>
        <v/>
      </c>
      <c r="D957" s="8"/>
      <c r="E957" s="19"/>
      <c r="F957" s="20"/>
      <c r="G957" s="17"/>
      <c r="H957" s="17"/>
      <c r="I957" s="18" t="str">
        <f t="shared" si="14"/>
        <v/>
      </c>
      <c r="J957" s="8"/>
    </row>
    <row r="958" spans="1:10" x14ac:dyDescent="0.3">
      <c r="A958" s="9"/>
      <c r="B958" s="8"/>
      <c r="C958" s="10" t="str">
        <f>IFERROR(VLOOKUP(B958,Activos!$A$5:$C$104,3,FALSE),"")</f>
        <v/>
      </c>
      <c r="D958" s="8"/>
      <c r="E958" s="19"/>
      <c r="F958" s="20"/>
      <c r="G958" s="17"/>
      <c r="H958" s="17"/>
      <c r="I958" s="18" t="str">
        <f t="shared" si="14"/>
        <v/>
      </c>
      <c r="J958" s="8"/>
    </row>
    <row r="959" spans="1:10" x14ac:dyDescent="0.3">
      <c r="A959" s="9"/>
      <c r="B959" s="8"/>
      <c r="C959" s="10" t="str">
        <f>IFERROR(VLOOKUP(B959,Activos!$A$5:$C$104,3,FALSE),"")</f>
        <v/>
      </c>
      <c r="D959" s="8"/>
      <c r="E959" s="19"/>
      <c r="F959" s="20"/>
      <c r="G959" s="17"/>
      <c r="H959" s="17"/>
      <c r="I959" s="18" t="str">
        <f t="shared" si="14"/>
        <v/>
      </c>
      <c r="J959" s="8"/>
    </row>
    <row r="960" spans="1:10" x14ac:dyDescent="0.3">
      <c r="A960" s="9"/>
      <c r="B960" s="8"/>
      <c r="C960" s="10" t="str">
        <f>IFERROR(VLOOKUP(B960,Activos!$A$5:$C$104,3,FALSE),"")</f>
        <v/>
      </c>
      <c r="D960" s="8"/>
      <c r="E960" s="19"/>
      <c r="F960" s="20"/>
      <c r="G960" s="17"/>
      <c r="H960" s="17"/>
      <c r="I960" s="18" t="str">
        <f t="shared" si="14"/>
        <v/>
      </c>
      <c r="J960" s="8"/>
    </row>
    <row r="961" spans="1:10" x14ac:dyDescent="0.3">
      <c r="A961" s="9"/>
      <c r="B961" s="8"/>
      <c r="C961" s="10" t="str">
        <f>IFERROR(VLOOKUP(B961,Activos!$A$5:$C$104,3,FALSE),"")</f>
        <v/>
      </c>
      <c r="D961" s="8"/>
      <c r="E961" s="19"/>
      <c r="F961" s="20"/>
      <c r="G961" s="17"/>
      <c r="H961" s="17"/>
      <c r="I961" s="18" t="str">
        <f t="shared" si="14"/>
        <v/>
      </c>
      <c r="J961" s="8"/>
    </row>
    <row r="962" spans="1:10" x14ac:dyDescent="0.3">
      <c r="A962" s="9"/>
      <c r="B962" s="8"/>
      <c r="C962" s="10" t="str">
        <f>IFERROR(VLOOKUP(B962,Activos!$A$5:$C$104,3,FALSE),"")</f>
        <v/>
      </c>
      <c r="D962" s="8"/>
      <c r="E962" s="19"/>
      <c r="F962" s="20"/>
      <c r="G962" s="17"/>
      <c r="H962" s="17"/>
      <c r="I962" s="18" t="str">
        <f t="shared" si="14"/>
        <v/>
      </c>
      <c r="J962" s="8"/>
    </row>
    <row r="963" spans="1:10" x14ac:dyDescent="0.3">
      <c r="A963" s="9"/>
      <c r="B963" s="8"/>
      <c r="C963" s="10" t="str">
        <f>IFERROR(VLOOKUP(B963,Activos!$A$5:$C$104,3,FALSE),"")</f>
        <v/>
      </c>
      <c r="D963" s="8"/>
      <c r="E963" s="19"/>
      <c r="F963" s="20"/>
      <c r="G963" s="17"/>
      <c r="H963" s="17"/>
      <c r="I963" s="18" t="str">
        <f t="shared" si="14"/>
        <v/>
      </c>
      <c r="J963" s="8"/>
    </row>
    <row r="964" spans="1:10" x14ac:dyDescent="0.3">
      <c r="A964" s="9"/>
      <c r="B964" s="8"/>
      <c r="C964" s="10" t="str">
        <f>IFERROR(VLOOKUP(B964,Activos!$A$5:$C$104,3,FALSE),"")</f>
        <v/>
      </c>
      <c r="D964" s="8"/>
      <c r="E964" s="19"/>
      <c r="F964" s="20"/>
      <c r="G964" s="17"/>
      <c r="H964" s="17"/>
      <c r="I964" s="18" t="str">
        <f t="shared" si="14"/>
        <v/>
      </c>
      <c r="J964" s="8"/>
    </row>
    <row r="965" spans="1:10" x14ac:dyDescent="0.3">
      <c r="A965" s="9"/>
      <c r="B965" s="8"/>
      <c r="C965" s="10" t="str">
        <f>IFERROR(VLOOKUP(B965,Activos!$A$5:$C$104,3,FALSE),"")</f>
        <v/>
      </c>
      <c r="D965" s="8"/>
      <c r="E965" s="19"/>
      <c r="F965" s="20"/>
      <c r="G965" s="17"/>
      <c r="H965" s="17"/>
      <c r="I965" s="18" t="str">
        <f t="shared" ref="I965:I1028" si="15">IF(OR(D965="",G965=""),"",IF(D965="COMPRA",-G965-IF(H965="",0,H965),IF(D965="VENTA",G965-IF(H965="",0,H965),"")))</f>
        <v/>
      </c>
      <c r="J965" s="8"/>
    </row>
    <row r="966" spans="1:10" x14ac:dyDescent="0.3">
      <c r="A966" s="9"/>
      <c r="B966" s="8"/>
      <c r="C966" s="10" t="str">
        <f>IFERROR(VLOOKUP(B966,Activos!$A$5:$C$104,3,FALSE),"")</f>
        <v/>
      </c>
      <c r="D966" s="8"/>
      <c r="E966" s="19"/>
      <c r="F966" s="20"/>
      <c r="G966" s="17"/>
      <c r="H966" s="17"/>
      <c r="I966" s="18" t="str">
        <f t="shared" si="15"/>
        <v/>
      </c>
      <c r="J966" s="8"/>
    </row>
    <row r="967" spans="1:10" x14ac:dyDescent="0.3">
      <c r="A967" s="9"/>
      <c r="B967" s="8"/>
      <c r="C967" s="10" t="str">
        <f>IFERROR(VLOOKUP(B967,Activos!$A$5:$C$104,3,FALSE),"")</f>
        <v/>
      </c>
      <c r="D967" s="8"/>
      <c r="E967" s="19"/>
      <c r="F967" s="20"/>
      <c r="G967" s="17"/>
      <c r="H967" s="17"/>
      <c r="I967" s="18" t="str">
        <f t="shared" si="15"/>
        <v/>
      </c>
      <c r="J967" s="8"/>
    </row>
    <row r="968" spans="1:10" x14ac:dyDescent="0.3">
      <c r="A968" s="9"/>
      <c r="B968" s="8"/>
      <c r="C968" s="10" t="str">
        <f>IFERROR(VLOOKUP(B968,Activos!$A$5:$C$104,3,FALSE),"")</f>
        <v/>
      </c>
      <c r="D968" s="8"/>
      <c r="E968" s="19"/>
      <c r="F968" s="20"/>
      <c r="G968" s="17"/>
      <c r="H968" s="17"/>
      <c r="I968" s="18" t="str">
        <f t="shared" si="15"/>
        <v/>
      </c>
      <c r="J968" s="8"/>
    </row>
    <row r="969" spans="1:10" x14ac:dyDescent="0.3">
      <c r="A969" s="9"/>
      <c r="B969" s="8"/>
      <c r="C969" s="10" t="str">
        <f>IFERROR(VLOOKUP(B969,Activos!$A$5:$C$104,3,FALSE),"")</f>
        <v/>
      </c>
      <c r="D969" s="8"/>
      <c r="E969" s="19"/>
      <c r="F969" s="20"/>
      <c r="G969" s="17"/>
      <c r="H969" s="17"/>
      <c r="I969" s="18" t="str">
        <f t="shared" si="15"/>
        <v/>
      </c>
      <c r="J969" s="8"/>
    </row>
    <row r="970" spans="1:10" x14ac:dyDescent="0.3">
      <c r="A970" s="9"/>
      <c r="B970" s="8"/>
      <c r="C970" s="10" t="str">
        <f>IFERROR(VLOOKUP(B970,Activos!$A$5:$C$104,3,FALSE),"")</f>
        <v/>
      </c>
      <c r="D970" s="8"/>
      <c r="E970" s="19"/>
      <c r="F970" s="20"/>
      <c r="G970" s="17"/>
      <c r="H970" s="17"/>
      <c r="I970" s="18" t="str">
        <f t="shared" si="15"/>
        <v/>
      </c>
      <c r="J970" s="8"/>
    </row>
    <row r="971" spans="1:10" x14ac:dyDescent="0.3">
      <c r="A971" s="9"/>
      <c r="B971" s="8"/>
      <c r="C971" s="10" t="str">
        <f>IFERROR(VLOOKUP(B971,Activos!$A$5:$C$104,3,FALSE),"")</f>
        <v/>
      </c>
      <c r="D971" s="8"/>
      <c r="E971" s="19"/>
      <c r="F971" s="20"/>
      <c r="G971" s="17"/>
      <c r="H971" s="17"/>
      <c r="I971" s="18" t="str">
        <f t="shared" si="15"/>
        <v/>
      </c>
      <c r="J971" s="8"/>
    </row>
    <row r="972" spans="1:10" x14ac:dyDescent="0.3">
      <c r="A972" s="9"/>
      <c r="B972" s="8"/>
      <c r="C972" s="10" t="str">
        <f>IFERROR(VLOOKUP(B972,Activos!$A$5:$C$104,3,FALSE),"")</f>
        <v/>
      </c>
      <c r="D972" s="8"/>
      <c r="E972" s="19"/>
      <c r="F972" s="20"/>
      <c r="G972" s="17"/>
      <c r="H972" s="17"/>
      <c r="I972" s="18" t="str">
        <f t="shared" si="15"/>
        <v/>
      </c>
      <c r="J972" s="8"/>
    </row>
    <row r="973" spans="1:10" x14ac:dyDescent="0.3">
      <c r="A973" s="9"/>
      <c r="B973" s="8"/>
      <c r="C973" s="10" t="str">
        <f>IFERROR(VLOOKUP(B973,Activos!$A$5:$C$104,3,FALSE),"")</f>
        <v/>
      </c>
      <c r="D973" s="8"/>
      <c r="E973" s="19"/>
      <c r="F973" s="20"/>
      <c r="G973" s="17"/>
      <c r="H973" s="17"/>
      <c r="I973" s="18" t="str">
        <f t="shared" si="15"/>
        <v/>
      </c>
      <c r="J973" s="8"/>
    </row>
    <row r="974" spans="1:10" x14ac:dyDescent="0.3">
      <c r="A974" s="9"/>
      <c r="B974" s="8"/>
      <c r="C974" s="10" t="str">
        <f>IFERROR(VLOOKUP(B974,Activos!$A$5:$C$104,3,FALSE),"")</f>
        <v/>
      </c>
      <c r="D974" s="8"/>
      <c r="E974" s="19"/>
      <c r="F974" s="20"/>
      <c r="G974" s="17"/>
      <c r="H974" s="17"/>
      <c r="I974" s="18" t="str">
        <f t="shared" si="15"/>
        <v/>
      </c>
      <c r="J974" s="8"/>
    </row>
    <row r="975" spans="1:10" x14ac:dyDescent="0.3">
      <c r="A975" s="9"/>
      <c r="B975" s="8"/>
      <c r="C975" s="10" t="str">
        <f>IFERROR(VLOOKUP(B975,Activos!$A$5:$C$104,3,FALSE),"")</f>
        <v/>
      </c>
      <c r="D975" s="8"/>
      <c r="E975" s="19"/>
      <c r="F975" s="20"/>
      <c r="G975" s="17"/>
      <c r="H975" s="17"/>
      <c r="I975" s="18" t="str">
        <f t="shared" si="15"/>
        <v/>
      </c>
      <c r="J975" s="8"/>
    </row>
    <row r="976" spans="1:10" x14ac:dyDescent="0.3">
      <c r="A976" s="9"/>
      <c r="B976" s="8"/>
      <c r="C976" s="10" t="str">
        <f>IFERROR(VLOOKUP(B976,Activos!$A$5:$C$104,3,FALSE),"")</f>
        <v/>
      </c>
      <c r="D976" s="8"/>
      <c r="E976" s="19"/>
      <c r="F976" s="20"/>
      <c r="G976" s="17"/>
      <c r="H976" s="17"/>
      <c r="I976" s="18" t="str">
        <f t="shared" si="15"/>
        <v/>
      </c>
      <c r="J976" s="8"/>
    </row>
    <row r="977" spans="1:10" x14ac:dyDescent="0.3">
      <c r="A977" s="9"/>
      <c r="B977" s="8"/>
      <c r="C977" s="10" t="str">
        <f>IFERROR(VLOOKUP(B977,Activos!$A$5:$C$104,3,FALSE),"")</f>
        <v/>
      </c>
      <c r="D977" s="8"/>
      <c r="E977" s="19"/>
      <c r="F977" s="20"/>
      <c r="G977" s="17"/>
      <c r="H977" s="17"/>
      <c r="I977" s="18" t="str">
        <f t="shared" si="15"/>
        <v/>
      </c>
      <c r="J977" s="8"/>
    </row>
    <row r="978" spans="1:10" x14ac:dyDescent="0.3">
      <c r="A978" s="9"/>
      <c r="B978" s="8"/>
      <c r="C978" s="10" t="str">
        <f>IFERROR(VLOOKUP(B978,Activos!$A$5:$C$104,3,FALSE),"")</f>
        <v/>
      </c>
      <c r="D978" s="8"/>
      <c r="E978" s="19"/>
      <c r="F978" s="20"/>
      <c r="G978" s="17"/>
      <c r="H978" s="17"/>
      <c r="I978" s="18" t="str">
        <f t="shared" si="15"/>
        <v/>
      </c>
      <c r="J978" s="8"/>
    </row>
    <row r="979" spans="1:10" x14ac:dyDescent="0.3">
      <c r="A979" s="9"/>
      <c r="B979" s="8"/>
      <c r="C979" s="10" t="str">
        <f>IFERROR(VLOOKUP(B979,Activos!$A$5:$C$104,3,FALSE),"")</f>
        <v/>
      </c>
      <c r="D979" s="8"/>
      <c r="E979" s="19"/>
      <c r="F979" s="20"/>
      <c r="G979" s="17"/>
      <c r="H979" s="17"/>
      <c r="I979" s="18" t="str">
        <f t="shared" si="15"/>
        <v/>
      </c>
      <c r="J979" s="8"/>
    </row>
    <row r="980" spans="1:10" x14ac:dyDescent="0.3">
      <c r="A980" s="9"/>
      <c r="B980" s="8"/>
      <c r="C980" s="10" t="str">
        <f>IFERROR(VLOOKUP(B980,Activos!$A$5:$C$104,3,FALSE),"")</f>
        <v/>
      </c>
      <c r="D980" s="8"/>
      <c r="E980" s="19"/>
      <c r="F980" s="20"/>
      <c r="G980" s="17"/>
      <c r="H980" s="17"/>
      <c r="I980" s="18" t="str">
        <f t="shared" si="15"/>
        <v/>
      </c>
      <c r="J980" s="8"/>
    </row>
    <row r="981" spans="1:10" x14ac:dyDescent="0.3">
      <c r="A981" s="9"/>
      <c r="B981" s="8"/>
      <c r="C981" s="10" t="str">
        <f>IFERROR(VLOOKUP(B981,Activos!$A$5:$C$104,3,FALSE),"")</f>
        <v/>
      </c>
      <c r="D981" s="8"/>
      <c r="E981" s="19"/>
      <c r="F981" s="20"/>
      <c r="G981" s="17"/>
      <c r="H981" s="17"/>
      <c r="I981" s="18" t="str">
        <f t="shared" si="15"/>
        <v/>
      </c>
      <c r="J981" s="8"/>
    </row>
    <row r="982" spans="1:10" x14ac:dyDescent="0.3">
      <c r="A982" s="9"/>
      <c r="B982" s="8"/>
      <c r="C982" s="10" t="str">
        <f>IFERROR(VLOOKUP(B982,Activos!$A$5:$C$104,3,FALSE),"")</f>
        <v/>
      </c>
      <c r="D982" s="8"/>
      <c r="E982" s="19"/>
      <c r="F982" s="20"/>
      <c r="G982" s="17"/>
      <c r="H982" s="17"/>
      <c r="I982" s="18" t="str">
        <f t="shared" si="15"/>
        <v/>
      </c>
      <c r="J982" s="8"/>
    </row>
    <row r="983" spans="1:10" x14ac:dyDescent="0.3">
      <c r="A983" s="9"/>
      <c r="B983" s="8"/>
      <c r="C983" s="10" t="str">
        <f>IFERROR(VLOOKUP(B983,Activos!$A$5:$C$104,3,FALSE),"")</f>
        <v/>
      </c>
      <c r="D983" s="8"/>
      <c r="E983" s="19"/>
      <c r="F983" s="20"/>
      <c r="G983" s="17"/>
      <c r="H983" s="17"/>
      <c r="I983" s="18" t="str">
        <f t="shared" si="15"/>
        <v/>
      </c>
      <c r="J983" s="8"/>
    </row>
    <row r="984" spans="1:10" x14ac:dyDescent="0.3">
      <c r="A984" s="9"/>
      <c r="B984" s="8"/>
      <c r="C984" s="10" t="str">
        <f>IFERROR(VLOOKUP(B984,Activos!$A$5:$C$104,3,FALSE),"")</f>
        <v/>
      </c>
      <c r="D984" s="8"/>
      <c r="E984" s="19"/>
      <c r="F984" s="20"/>
      <c r="G984" s="17"/>
      <c r="H984" s="17"/>
      <c r="I984" s="18" t="str">
        <f t="shared" si="15"/>
        <v/>
      </c>
      <c r="J984" s="8"/>
    </row>
    <row r="985" spans="1:10" x14ac:dyDescent="0.3">
      <c r="A985" s="9"/>
      <c r="B985" s="8"/>
      <c r="C985" s="10" t="str">
        <f>IFERROR(VLOOKUP(B985,Activos!$A$5:$C$104,3,FALSE),"")</f>
        <v/>
      </c>
      <c r="D985" s="8"/>
      <c r="E985" s="19"/>
      <c r="F985" s="20"/>
      <c r="G985" s="17"/>
      <c r="H985" s="17"/>
      <c r="I985" s="18" t="str">
        <f t="shared" si="15"/>
        <v/>
      </c>
      <c r="J985" s="8"/>
    </row>
    <row r="986" spans="1:10" x14ac:dyDescent="0.3">
      <c r="A986" s="9"/>
      <c r="B986" s="8"/>
      <c r="C986" s="10" t="str">
        <f>IFERROR(VLOOKUP(B986,Activos!$A$5:$C$104,3,FALSE),"")</f>
        <v/>
      </c>
      <c r="D986" s="8"/>
      <c r="E986" s="19"/>
      <c r="F986" s="20"/>
      <c r="G986" s="17"/>
      <c r="H986" s="17"/>
      <c r="I986" s="18" t="str">
        <f t="shared" si="15"/>
        <v/>
      </c>
      <c r="J986" s="8"/>
    </row>
    <row r="987" spans="1:10" x14ac:dyDescent="0.3">
      <c r="A987" s="9"/>
      <c r="B987" s="8"/>
      <c r="C987" s="10" t="str">
        <f>IFERROR(VLOOKUP(B987,Activos!$A$5:$C$104,3,FALSE),"")</f>
        <v/>
      </c>
      <c r="D987" s="8"/>
      <c r="E987" s="19"/>
      <c r="F987" s="20"/>
      <c r="G987" s="17"/>
      <c r="H987" s="17"/>
      <c r="I987" s="18" t="str">
        <f t="shared" si="15"/>
        <v/>
      </c>
      <c r="J987" s="8"/>
    </row>
    <row r="988" spans="1:10" x14ac:dyDescent="0.3">
      <c r="A988" s="9"/>
      <c r="B988" s="8"/>
      <c r="C988" s="10" t="str">
        <f>IFERROR(VLOOKUP(B988,Activos!$A$5:$C$104,3,FALSE),"")</f>
        <v/>
      </c>
      <c r="D988" s="8"/>
      <c r="E988" s="19"/>
      <c r="F988" s="20"/>
      <c r="G988" s="17"/>
      <c r="H988" s="17"/>
      <c r="I988" s="18" t="str">
        <f t="shared" si="15"/>
        <v/>
      </c>
      <c r="J988" s="8"/>
    </row>
    <row r="989" spans="1:10" x14ac:dyDescent="0.3">
      <c r="A989" s="9"/>
      <c r="B989" s="8"/>
      <c r="C989" s="10" t="str">
        <f>IFERROR(VLOOKUP(B989,Activos!$A$5:$C$104,3,FALSE),"")</f>
        <v/>
      </c>
      <c r="D989" s="8"/>
      <c r="E989" s="19"/>
      <c r="F989" s="20"/>
      <c r="G989" s="17"/>
      <c r="H989" s="17"/>
      <c r="I989" s="18" t="str">
        <f t="shared" si="15"/>
        <v/>
      </c>
      <c r="J989" s="8"/>
    </row>
    <row r="990" spans="1:10" x14ac:dyDescent="0.3">
      <c r="A990" s="9"/>
      <c r="B990" s="8"/>
      <c r="C990" s="10" t="str">
        <f>IFERROR(VLOOKUP(B990,Activos!$A$5:$C$104,3,FALSE),"")</f>
        <v/>
      </c>
      <c r="D990" s="8"/>
      <c r="E990" s="19"/>
      <c r="F990" s="20"/>
      <c r="G990" s="17"/>
      <c r="H990" s="17"/>
      <c r="I990" s="18" t="str">
        <f t="shared" si="15"/>
        <v/>
      </c>
      <c r="J990" s="8"/>
    </row>
    <row r="991" spans="1:10" x14ac:dyDescent="0.3">
      <c r="A991" s="9"/>
      <c r="B991" s="8"/>
      <c r="C991" s="10" t="str">
        <f>IFERROR(VLOOKUP(B991,Activos!$A$5:$C$104,3,FALSE),"")</f>
        <v/>
      </c>
      <c r="D991" s="8"/>
      <c r="E991" s="19"/>
      <c r="F991" s="20"/>
      <c r="G991" s="17"/>
      <c r="H991" s="17"/>
      <c r="I991" s="18" t="str">
        <f t="shared" si="15"/>
        <v/>
      </c>
      <c r="J991" s="8"/>
    </row>
    <row r="992" spans="1:10" x14ac:dyDescent="0.3">
      <c r="A992" s="9"/>
      <c r="B992" s="8"/>
      <c r="C992" s="10" t="str">
        <f>IFERROR(VLOOKUP(B992,Activos!$A$5:$C$104,3,FALSE),"")</f>
        <v/>
      </c>
      <c r="D992" s="8"/>
      <c r="E992" s="19"/>
      <c r="F992" s="20"/>
      <c r="G992" s="17"/>
      <c r="H992" s="17"/>
      <c r="I992" s="18" t="str">
        <f t="shared" si="15"/>
        <v/>
      </c>
      <c r="J992" s="8"/>
    </row>
    <row r="993" spans="1:10" x14ac:dyDescent="0.3">
      <c r="A993" s="9"/>
      <c r="B993" s="8"/>
      <c r="C993" s="10" t="str">
        <f>IFERROR(VLOOKUP(B993,Activos!$A$5:$C$104,3,FALSE),"")</f>
        <v/>
      </c>
      <c r="D993" s="8"/>
      <c r="E993" s="19"/>
      <c r="F993" s="20"/>
      <c r="G993" s="17"/>
      <c r="H993" s="17"/>
      <c r="I993" s="18" t="str">
        <f t="shared" si="15"/>
        <v/>
      </c>
      <c r="J993" s="8"/>
    </row>
    <row r="994" spans="1:10" x14ac:dyDescent="0.3">
      <c r="A994" s="9"/>
      <c r="B994" s="8"/>
      <c r="C994" s="10" t="str">
        <f>IFERROR(VLOOKUP(B994,Activos!$A$5:$C$104,3,FALSE),"")</f>
        <v/>
      </c>
      <c r="D994" s="8"/>
      <c r="E994" s="19"/>
      <c r="F994" s="20"/>
      <c r="G994" s="17"/>
      <c r="H994" s="17"/>
      <c r="I994" s="18" t="str">
        <f t="shared" si="15"/>
        <v/>
      </c>
      <c r="J994" s="8"/>
    </row>
    <row r="995" spans="1:10" x14ac:dyDescent="0.3">
      <c r="A995" s="9"/>
      <c r="B995" s="8"/>
      <c r="C995" s="10" t="str">
        <f>IFERROR(VLOOKUP(B995,Activos!$A$5:$C$104,3,FALSE),"")</f>
        <v/>
      </c>
      <c r="D995" s="8"/>
      <c r="E995" s="19"/>
      <c r="F995" s="20"/>
      <c r="G995" s="17"/>
      <c r="H995" s="17"/>
      <c r="I995" s="18" t="str">
        <f t="shared" si="15"/>
        <v/>
      </c>
      <c r="J995" s="8"/>
    </row>
    <row r="996" spans="1:10" x14ac:dyDescent="0.3">
      <c r="A996" s="9"/>
      <c r="B996" s="8"/>
      <c r="C996" s="10" t="str">
        <f>IFERROR(VLOOKUP(B996,Activos!$A$5:$C$104,3,FALSE),"")</f>
        <v/>
      </c>
      <c r="D996" s="8"/>
      <c r="E996" s="19"/>
      <c r="F996" s="20"/>
      <c r="G996" s="17"/>
      <c r="H996" s="17"/>
      <c r="I996" s="18" t="str">
        <f t="shared" si="15"/>
        <v/>
      </c>
      <c r="J996" s="8"/>
    </row>
    <row r="997" spans="1:10" x14ac:dyDescent="0.3">
      <c r="A997" s="9"/>
      <c r="B997" s="8"/>
      <c r="C997" s="10" t="str">
        <f>IFERROR(VLOOKUP(B997,Activos!$A$5:$C$104,3,FALSE),"")</f>
        <v/>
      </c>
      <c r="D997" s="8"/>
      <c r="E997" s="19"/>
      <c r="F997" s="20"/>
      <c r="G997" s="17"/>
      <c r="H997" s="17"/>
      <c r="I997" s="18" t="str">
        <f t="shared" si="15"/>
        <v/>
      </c>
      <c r="J997" s="8"/>
    </row>
    <row r="998" spans="1:10" x14ac:dyDescent="0.3">
      <c r="A998" s="9"/>
      <c r="B998" s="8"/>
      <c r="C998" s="10" t="str">
        <f>IFERROR(VLOOKUP(B998,Activos!$A$5:$C$104,3,FALSE),"")</f>
        <v/>
      </c>
      <c r="D998" s="8"/>
      <c r="E998" s="19"/>
      <c r="F998" s="20"/>
      <c r="G998" s="17"/>
      <c r="H998" s="17"/>
      <c r="I998" s="18" t="str">
        <f t="shared" si="15"/>
        <v/>
      </c>
      <c r="J998" s="8"/>
    </row>
    <row r="999" spans="1:10" x14ac:dyDescent="0.3">
      <c r="A999" s="9"/>
      <c r="B999" s="8"/>
      <c r="C999" s="10" t="str">
        <f>IFERROR(VLOOKUP(B999,Activos!$A$5:$C$104,3,FALSE),"")</f>
        <v/>
      </c>
      <c r="D999" s="8"/>
      <c r="E999" s="19"/>
      <c r="F999" s="20"/>
      <c r="G999" s="17"/>
      <c r="H999" s="17"/>
      <c r="I999" s="18" t="str">
        <f t="shared" si="15"/>
        <v/>
      </c>
      <c r="J999" s="8"/>
    </row>
    <row r="1000" spans="1:10" x14ac:dyDescent="0.3">
      <c r="A1000" s="9"/>
      <c r="B1000" s="8"/>
      <c r="C1000" s="10" t="str">
        <f>IFERROR(VLOOKUP(B1000,Activos!$A$5:$C$104,3,FALSE),"")</f>
        <v/>
      </c>
      <c r="D1000" s="8"/>
      <c r="E1000" s="19"/>
      <c r="F1000" s="20"/>
      <c r="G1000" s="17"/>
      <c r="H1000" s="17"/>
      <c r="I1000" s="18" t="str">
        <f t="shared" si="15"/>
        <v/>
      </c>
      <c r="J1000" s="8"/>
    </row>
    <row r="1001" spans="1:10" x14ac:dyDescent="0.3">
      <c r="A1001" s="9"/>
      <c r="B1001" s="8"/>
      <c r="C1001" s="10" t="str">
        <f>IFERROR(VLOOKUP(B1001,Activos!$A$5:$C$104,3,FALSE),"")</f>
        <v/>
      </c>
      <c r="D1001" s="8"/>
      <c r="E1001" s="19"/>
      <c r="F1001" s="20"/>
      <c r="G1001" s="17"/>
      <c r="H1001" s="17"/>
      <c r="I1001" s="18" t="str">
        <f t="shared" si="15"/>
        <v/>
      </c>
      <c r="J1001" s="8"/>
    </row>
    <row r="1002" spans="1:10" x14ac:dyDescent="0.3">
      <c r="A1002" s="9"/>
      <c r="B1002" s="8"/>
      <c r="C1002" s="10" t="str">
        <f>IFERROR(VLOOKUP(B1002,Activos!$A$5:$C$104,3,FALSE),"")</f>
        <v/>
      </c>
      <c r="D1002" s="8"/>
      <c r="E1002" s="19"/>
      <c r="F1002" s="20"/>
      <c r="G1002" s="17"/>
      <c r="H1002" s="17"/>
      <c r="I1002" s="18" t="str">
        <f t="shared" si="15"/>
        <v/>
      </c>
      <c r="J1002" s="8"/>
    </row>
    <row r="1003" spans="1:10" x14ac:dyDescent="0.3">
      <c r="A1003" s="9"/>
      <c r="B1003" s="8"/>
      <c r="C1003" s="10" t="str">
        <f>IFERROR(VLOOKUP(B1003,Activos!$A$5:$C$104,3,FALSE),"")</f>
        <v/>
      </c>
      <c r="D1003" s="8"/>
      <c r="E1003" s="19"/>
      <c r="F1003" s="20"/>
      <c r="G1003" s="17"/>
      <c r="H1003" s="17"/>
      <c r="I1003" s="18" t="str">
        <f t="shared" si="15"/>
        <v/>
      </c>
      <c r="J1003" s="8"/>
    </row>
    <row r="1004" spans="1:10" x14ac:dyDescent="0.3">
      <c r="A1004" s="9"/>
      <c r="B1004" s="8"/>
      <c r="C1004" s="10" t="str">
        <f>IFERROR(VLOOKUP(B1004,Activos!$A$5:$C$104,3,FALSE),"")</f>
        <v/>
      </c>
      <c r="D1004" s="8"/>
      <c r="E1004" s="19"/>
      <c r="F1004" s="20"/>
      <c r="G1004" s="17"/>
      <c r="H1004" s="17"/>
      <c r="I1004" s="18" t="str">
        <f t="shared" si="15"/>
        <v/>
      </c>
      <c r="J1004" s="8"/>
    </row>
  </sheetData>
  <autoFilter ref="A4:J1004" xr:uid="{00000000-0009-0000-0000-000004000000}"/>
  <mergeCells count="2">
    <mergeCell ref="A1:J1"/>
    <mergeCell ref="A2:J2"/>
  </mergeCells>
  <dataValidations count="2">
    <dataValidation type="list" allowBlank="1" sqref="B5:B1004" xr:uid="{00000000-0002-0000-0400-000000000000}">
      <formula1>ListaActivos</formula1>
    </dataValidation>
    <dataValidation type="list" allowBlank="1" sqref="D5:D1004" xr:uid="{00000000-0002-0000-0400-000001000000}">
      <formula1>"COMPRA,VENTA"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04"/>
  <sheetViews>
    <sheetView showGridLines="0" workbookViewId="0">
      <pane ySplit="4" topLeftCell="A5" activePane="bottomLeft" state="frozen"/>
      <selection pane="bottomLeft" activeCell="D8" sqref="D8"/>
    </sheetView>
  </sheetViews>
  <sheetFormatPr baseColWidth="10" defaultColWidth="8.88671875" defaultRowHeight="14.4" x14ac:dyDescent="0.3"/>
  <cols>
    <col min="1" max="1" width="13" style="12" customWidth="1"/>
    <col min="2" max="2" width="18" style="12" customWidth="1"/>
    <col min="3" max="3" width="12" style="12" customWidth="1"/>
    <col min="4" max="4" width="15" style="12" customWidth="1"/>
    <col min="5" max="5" width="19" style="12" customWidth="1"/>
    <col min="6" max="7" width="18" style="12" customWidth="1"/>
    <col min="8" max="8" width="17" style="12" customWidth="1"/>
    <col min="9" max="9" width="24" style="12" customWidth="1"/>
    <col min="10" max="10" width="26" style="12" customWidth="1"/>
    <col min="11" max="11" width="22" style="12" customWidth="1"/>
    <col min="12" max="12" width="42" style="12" customWidth="1"/>
  </cols>
  <sheetData>
    <row r="1" spans="1:12" ht="25.05" customHeight="1" x14ac:dyDescent="0.3">
      <c r="A1" s="34" t="s">
        <v>202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ht="34.049999999999997" customHeight="1" x14ac:dyDescent="0.3">
      <c r="A2" s="31" t="s">
        <v>203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4" spans="1:12" ht="34.049999999999997" customHeight="1" x14ac:dyDescent="0.3">
      <c r="A4" s="1" t="s">
        <v>178</v>
      </c>
      <c r="B4" s="1" t="s">
        <v>204</v>
      </c>
      <c r="C4" s="1" t="s">
        <v>189</v>
      </c>
      <c r="D4" s="1" t="s">
        <v>69</v>
      </c>
      <c r="E4" s="1" t="s">
        <v>205</v>
      </c>
      <c r="F4" s="1" t="s">
        <v>206</v>
      </c>
      <c r="G4" s="1" t="s">
        <v>207</v>
      </c>
      <c r="H4" s="1" t="s">
        <v>208</v>
      </c>
      <c r="I4" s="1" t="s">
        <v>209</v>
      </c>
      <c r="J4" s="1" t="s">
        <v>210</v>
      </c>
      <c r="K4" s="1" t="s">
        <v>211</v>
      </c>
      <c r="L4" s="1" t="s">
        <v>126</v>
      </c>
    </row>
    <row r="5" spans="1:12" x14ac:dyDescent="0.3">
      <c r="A5" s="22">
        <v>46308</v>
      </c>
      <c r="B5" s="23" t="s">
        <v>212</v>
      </c>
      <c r="C5" s="23" t="s">
        <v>172</v>
      </c>
      <c r="D5" s="24">
        <v>1.1960000000000001E-5</v>
      </c>
      <c r="E5" s="25">
        <v>83580.27</v>
      </c>
      <c r="F5" s="25">
        <v>1</v>
      </c>
      <c r="G5" s="26">
        <f>IF(C5="","",IFERROR(LOOKUP(2,1/(Precios!$B$5:$B$2004=C5),Precios!$C$5:$C$2004),0))</f>
        <v>81990.929999999993</v>
      </c>
      <c r="H5" s="26">
        <f t="shared" ref="H5:H36" si="0">IF(D5="","",D5*G5)</f>
        <v>0.98061152279999997</v>
      </c>
      <c r="I5" s="26">
        <f t="shared" ref="I5:I36" si="1">IF(OR(H5="",F5=""),"",H5-F5)</f>
        <v>-1.9388477200000032E-2</v>
      </c>
      <c r="J5" s="27">
        <f t="shared" ref="J5:J36" si="2">IFERROR(I5/F5,0)</f>
        <v>-1.9388477200000032E-2</v>
      </c>
      <c r="K5" s="26">
        <v>0</v>
      </c>
      <c r="L5" s="23" t="s">
        <v>213</v>
      </c>
    </row>
    <row r="6" spans="1:12" x14ac:dyDescent="0.3">
      <c r="A6" s="22"/>
      <c r="B6" s="23"/>
      <c r="C6" s="23"/>
      <c r="D6" s="24"/>
      <c r="E6" s="25" t="str">
        <f>IF(C6="","",IFERROR(LOOKUP(2,1/(Precios!$B$5:$B$2004=C6),Precios!$C$5:$C$2004),0))</f>
        <v/>
      </c>
      <c r="F6" s="25" t="str">
        <f t="shared" ref="F6:F37" si="3">IF(D6="","",D6*E6)</f>
        <v/>
      </c>
      <c r="G6" s="26" t="str">
        <f>IF(C6="","",IFERROR(LOOKUP(2,1/(Precios!$B$5:$B$2004=C6),Precios!$C$5:$C$2004),0))</f>
        <v/>
      </c>
      <c r="H6" s="26" t="str">
        <f t="shared" si="0"/>
        <v/>
      </c>
      <c r="I6" s="26" t="str">
        <f t="shared" si="1"/>
        <v/>
      </c>
      <c r="J6" s="27">
        <f t="shared" si="2"/>
        <v>0</v>
      </c>
      <c r="K6" s="26">
        <v>0</v>
      </c>
      <c r="L6" s="23"/>
    </row>
    <row r="7" spans="1:12" x14ac:dyDescent="0.3">
      <c r="A7" s="22"/>
      <c r="B7" s="23"/>
      <c r="C7" s="23"/>
      <c r="D7" s="24"/>
      <c r="E7" s="25" t="str">
        <f>IF(C7="","",IFERROR(LOOKUP(2,1/(Precios!$B$5:$B$2004=C7),Precios!$C$5:$C$2004),0))</f>
        <v/>
      </c>
      <c r="F7" s="25" t="str">
        <f t="shared" si="3"/>
        <v/>
      </c>
      <c r="G7" s="26" t="str">
        <f>IF(C7="","",IFERROR(LOOKUP(2,1/(Precios!$B$5:$B$2004=C7),Precios!$C$5:$C$2004),0))</f>
        <v/>
      </c>
      <c r="H7" s="26" t="str">
        <f t="shared" si="0"/>
        <v/>
      </c>
      <c r="I7" s="26" t="str">
        <f t="shared" si="1"/>
        <v/>
      </c>
      <c r="J7" s="27">
        <f t="shared" si="2"/>
        <v>0</v>
      </c>
      <c r="K7" s="26">
        <v>0</v>
      </c>
      <c r="L7" s="23"/>
    </row>
    <row r="8" spans="1:12" x14ac:dyDescent="0.3">
      <c r="A8" s="22"/>
      <c r="B8" s="23"/>
      <c r="C8" s="23"/>
      <c r="D8" s="24"/>
      <c r="E8" s="25" t="str">
        <f>IF(C8="","",IFERROR(LOOKUP(2,1/(Precios!$B$5:$B$2004=C8),Precios!$C$5:$C$2004),0))</f>
        <v/>
      </c>
      <c r="F8" s="25" t="str">
        <f t="shared" si="3"/>
        <v/>
      </c>
      <c r="G8" s="26" t="str">
        <f>IF(C8="","",IFERROR(LOOKUP(2,1/(Precios!$B$5:$B$2004=C8),Precios!$C$5:$C$2004),0))</f>
        <v/>
      </c>
      <c r="H8" s="26" t="str">
        <f t="shared" si="0"/>
        <v/>
      </c>
      <c r="I8" s="26" t="str">
        <f t="shared" si="1"/>
        <v/>
      </c>
      <c r="J8" s="27">
        <f t="shared" si="2"/>
        <v>0</v>
      </c>
      <c r="K8" s="26">
        <v>0</v>
      </c>
      <c r="L8" s="23"/>
    </row>
    <row r="9" spans="1:12" x14ac:dyDescent="0.3">
      <c r="A9" s="22"/>
      <c r="B9" s="23"/>
      <c r="C9" s="23"/>
      <c r="D9" s="24"/>
      <c r="E9" s="25" t="str">
        <f>IF(C9="","",IFERROR(LOOKUP(2,1/(Precios!$B$5:$B$2004=C9),Precios!$C$5:$C$2004),0))</f>
        <v/>
      </c>
      <c r="F9" s="25" t="str">
        <f t="shared" si="3"/>
        <v/>
      </c>
      <c r="G9" s="26" t="str">
        <f>IF(C9="","",IFERROR(LOOKUP(2,1/(Precios!$B$5:$B$2004=C9),Precios!$C$5:$C$2004),0))</f>
        <v/>
      </c>
      <c r="H9" s="26" t="str">
        <f t="shared" si="0"/>
        <v/>
      </c>
      <c r="I9" s="26" t="str">
        <f t="shared" si="1"/>
        <v/>
      </c>
      <c r="J9" s="27">
        <f t="shared" si="2"/>
        <v>0</v>
      </c>
      <c r="K9" s="26">
        <v>0</v>
      </c>
      <c r="L9" s="23"/>
    </row>
    <row r="10" spans="1:12" x14ac:dyDescent="0.3">
      <c r="A10" s="22"/>
      <c r="B10" s="23"/>
      <c r="C10" s="23"/>
      <c r="D10" s="24"/>
      <c r="E10" s="25" t="str">
        <f>IF(C10="","",IFERROR(LOOKUP(2,1/(Precios!$B$5:$B$2004=C10),Precios!$C$5:$C$2004),0))</f>
        <v/>
      </c>
      <c r="F10" s="25" t="str">
        <f t="shared" si="3"/>
        <v/>
      </c>
      <c r="G10" s="26" t="str">
        <f>IF(C10="","",IFERROR(LOOKUP(2,1/(Precios!$B$5:$B$2004=C10),Precios!$C$5:$C$2004),0))</f>
        <v/>
      </c>
      <c r="H10" s="26" t="str">
        <f t="shared" si="0"/>
        <v/>
      </c>
      <c r="I10" s="26" t="str">
        <f t="shared" si="1"/>
        <v/>
      </c>
      <c r="J10" s="27">
        <f t="shared" si="2"/>
        <v>0</v>
      </c>
      <c r="K10" s="26">
        <v>0</v>
      </c>
      <c r="L10" s="23"/>
    </row>
    <row r="11" spans="1:12" x14ac:dyDescent="0.3">
      <c r="A11" s="22"/>
      <c r="B11" s="23"/>
      <c r="C11" s="23"/>
      <c r="D11" s="24"/>
      <c r="E11" s="25" t="str">
        <f>IF(C11="","",IFERROR(LOOKUP(2,1/(Precios!$B$5:$B$2004=C11),Precios!$C$5:$C$2004),0))</f>
        <v/>
      </c>
      <c r="F11" s="25" t="str">
        <f t="shared" si="3"/>
        <v/>
      </c>
      <c r="G11" s="26" t="str">
        <f>IF(C11="","",IFERROR(LOOKUP(2,1/(Precios!$B$5:$B$2004=C11),Precios!$C$5:$C$2004),0))</f>
        <v/>
      </c>
      <c r="H11" s="26" t="str">
        <f t="shared" si="0"/>
        <v/>
      </c>
      <c r="I11" s="26" t="str">
        <f t="shared" si="1"/>
        <v/>
      </c>
      <c r="J11" s="27">
        <f t="shared" si="2"/>
        <v>0</v>
      </c>
      <c r="K11" s="26">
        <v>0</v>
      </c>
      <c r="L11" s="23"/>
    </row>
    <row r="12" spans="1:12" x14ac:dyDescent="0.3">
      <c r="A12" s="22"/>
      <c r="B12" s="23"/>
      <c r="C12" s="23"/>
      <c r="D12" s="24"/>
      <c r="E12" s="25" t="str">
        <f>IF(C12="","",IFERROR(LOOKUP(2,1/(Precios!$B$5:$B$2004=C12),Precios!$C$5:$C$2004),0))</f>
        <v/>
      </c>
      <c r="F12" s="25" t="str">
        <f t="shared" si="3"/>
        <v/>
      </c>
      <c r="G12" s="26" t="str">
        <f>IF(C12="","",IFERROR(LOOKUP(2,1/(Precios!$B$5:$B$2004=C12),Precios!$C$5:$C$2004),0))</f>
        <v/>
      </c>
      <c r="H12" s="26" t="str">
        <f t="shared" si="0"/>
        <v/>
      </c>
      <c r="I12" s="26" t="str">
        <f t="shared" si="1"/>
        <v/>
      </c>
      <c r="J12" s="27">
        <f t="shared" si="2"/>
        <v>0</v>
      </c>
      <c r="K12" s="26">
        <v>0</v>
      </c>
      <c r="L12" s="23"/>
    </row>
    <row r="13" spans="1:12" x14ac:dyDescent="0.3">
      <c r="A13" s="22"/>
      <c r="B13" s="23"/>
      <c r="C13" s="23"/>
      <c r="D13" s="24"/>
      <c r="E13" s="25" t="str">
        <f>IF(C13="","",IFERROR(LOOKUP(2,1/(Precios!$B$5:$B$2004=C13),Precios!$C$5:$C$2004),0))</f>
        <v/>
      </c>
      <c r="F13" s="25" t="str">
        <f t="shared" si="3"/>
        <v/>
      </c>
      <c r="G13" s="26" t="str">
        <f>IF(C13="","",IFERROR(LOOKUP(2,1/(Precios!$B$5:$B$2004=C13),Precios!$C$5:$C$2004),0))</f>
        <v/>
      </c>
      <c r="H13" s="26" t="str">
        <f t="shared" si="0"/>
        <v/>
      </c>
      <c r="I13" s="26" t="str">
        <f t="shared" si="1"/>
        <v/>
      </c>
      <c r="J13" s="27">
        <f t="shared" si="2"/>
        <v>0</v>
      </c>
      <c r="K13" s="26">
        <v>0</v>
      </c>
      <c r="L13" s="23"/>
    </row>
    <row r="14" spans="1:12" x14ac:dyDescent="0.3">
      <c r="A14" s="22"/>
      <c r="B14" s="23"/>
      <c r="C14" s="23"/>
      <c r="D14" s="24"/>
      <c r="E14" s="25" t="str">
        <f>IF(C14="","",IFERROR(LOOKUP(2,1/(Precios!$B$5:$B$2004=C14),Precios!$C$5:$C$2004),0))</f>
        <v/>
      </c>
      <c r="F14" s="25" t="str">
        <f t="shared" si="3"/>
        <v/>
      </c>
      <c r="G14" s="26" t="str">
        <f>IF(C14="","",IFERROR(LOOKUP(2,1/(Precios!$B$5:$B$2004=C14),Precios!$C$5:$C$2004),0))</f>
        <v/>
      </c>
      <c r="H14" s="26" t="str">
        <f t="shared" si="0"/>
        <v/>
      </c>
      <c r="I14" s="26" t="str">
        <f t="shared" si="1"/>
        <v/>
      </c>
      <c r="J14" s="27">
        <f t="shared" si="2"/>
        <v>0</v>
      </c>
      <c r="K14" s="26">
        <v>0</v>
      </c>
      <c r="L14" s="23"/>
    </row>
    <row r="15" spans="1:12" x14ac:dyDescent="0.3">
      <c r="A15" s="22"/>
      <c r="B15" s="23"/>
      <c r="C15" s="23"/>
      <c r="D15" s="24"/>
      <c r="E15" s="25" t="str">
        <f>IF(C15="","",IFERROR(LOOKUP(2,1/(Precios!$B$5:$B$2004=C15),Precios!$C$5:$C$2004),0))</f>
        <v/>
      </c>
      <c r="F15" s="25" t="str">
        <f t="shared" si="3"/>
        <v/>
      </c>
      <c r="G15" s="26" t="str">
        <f>IF(C15="","",IFERROR(LOOKUP(2,1/(Precios!$B$5:$B$2004=C15),Precios!$C$5:$C$2004),0))</f>
        <v/>
      </c>
      <c r="H15" s="26" t="str">
        <f t="shared" si="0"/>
        <v/>
      </c>
      <c r="I15" s="26" t="str">
        <f t="shared" si="1"/>
        <v/>
      </c>
      <c r="J15" s="27">
        <f t="shared" si="2"/>
        <v>0</v>
      </c>
      <c r="K15" s="26">
        <v>0</v>
      </c>
      <c r="L15" s="23"/>
    </row>
    <row r="16" spans="1:12" x14ac:dyDescent="0.3">
      <c r="A16" s="22"/>
      <c r="B16" s="23"/>
      <c r="C16" s="23"/>
      <c r="D16" s="24"/>
      <c r="E16" s="25" t="str">
        <f>IF(C16="","",IFERROR(LOOKUP(2,1/(Precios!$B$5:$B$2004=C16),Precios!$C$5:$C$2004),0))</f>
        <v/>
      </c>
      <c r="F16" s="25" t="str">
        <f t="shared" si="3"/>
        <v/>
      </c>
      <c r="G16" s="26" t="str">
        <f>IF(C16="","",IFERROR(LOOKUP(2,1/(Precios!$B$5:$B$2004=C16),Precios!$C$5:$C$2004),0))</f>
        <v/>
      </c>
      <c r="H16" s="26" t="str">
        <f t="shared" si="0"/>
        <v/>
      </c>
      <c r="I16" s="26" t="str">
        <f t="shared" si="1"/>
        <v/>
      </c>
      <c r="J16" s="27">
        <f t="shared" si="2"/>
        <v>0</v>
      </c>
      <c r="K16" s="26">
        <v>0</v>
      </c>
      <c r="L16" s="23"/>
    </row>
    <row r="17" spans="1:12" x14ac:dyDescent="0.3">
      <c r="A17" s="22"/>
      <c r="B17" s="23"/>
      <c r="C17" s="23"/>
      <c r="D17" s="24"/>
      <c r="E17" s="25" t="str">
        <f>IF(C17="","",IFERROR(LOOKUP(2,1/(Precios!$B$5:$B$2004=C17),Precios!$C$5:$C$2004),0))</f>
        <v/>
      </c>
      <c r="F17" s="25" t="str">
        <f t="shared" si="3"/>
        <v/>
      </c>
      <c r="G17" s="26" t="str">
        <f>IF(C17="","",IFERROR(LOOKUP(2,1/(Precios!$B$5:$B$2004=C17),Precios!$C$5:$C$2004),0))</f>
        <v/>
      </c>
      <c r="H17" s="26" t="str">
        <f t="shared" si="0"/>
        <v/>
      </c>
      <c r="I17" s="26" t="str">
        <f t="shared" si="1"/>
        <v/>
      </c>
      <c r="J17" s="27">
        <f t="shared" si="2"/>
        <v>0</v>
      </c>
      <c r="K17" s="26">
        <v>0</v>
      </c>
      <c r="L17" s="23"/>
    </row>
    <row r="18" spans="1:12" x14ac:dyDescent="0.3">
      <c r="A18" s="22"/>
      <c r="B18" s="23"/>
      <c r="C18" s="23"/>
      <c r="D18" s="24"/>
      <c r="E18" s="25" t="str">
        <f>IF(C18="","",IFERROR(LOOKUP(2,1/(Precios!$B$5:$B$2004=C18),Precios!$C$5:$C$2004),0))</f>
        <v/>
      </c>
      <c r="F18" s="25" t="str">
        <f t="shared" si="3"/>
        <v/>
      </c>
      <c r="G18" s="26" t="str">
        <f>IF(C18="","",IFERROR(LOOKUP(2,1/(Precios!$B$5:$B$2004=C18),Precios!$C$5:$C$2004),0))</f>
        <v/>
      </c>
      <c r="H18" s="26" t="str">
        <f t="shared" si="0"/>
        <v/>
      </c>
      <c r="I18" s="26" t="str">
        <f t="shared" si="1"/>
        <v/>
      </c>
      <c r="J18" s="27">
        <f t="shared" si="2"/>
        <v>0</v>
      </c>
      <c r="K18" s="26">
        <v>0</v>
      </c>
      <c r="L18" s="23"/>
    </row>
    <row r="19" spans="1:12" x14ac:dyDescent="0.3">
      <c r="A19" s="22"/>
      <c r="B19" s="23"/>
      <c r="C19" s="23"/>
      <c r="D19" s="24"/>
      <c r="E19" s="25" t="str">
        <f>IF(C19="","",IFERROR(LOOKUP(2,1/(Precios!$B$5:$B$2004=C19),Precios!$C$5:$C$2004),0))</f>
        <v/>
      </c>
      <c r="F19" s="25" t="str">
        <f t="shared" si="3"/>
        <v/>
      </c>
      <c r="G19" s="26" t="str">
        <f>IF(C19="","",IFERROR(LOOKUP(2,1/(Precios!$B$5:$B$2004=C19),Precios!$C$5:$C$2004),0))</f>
        <v/>
      </c>
      <c r="H19" s="26" t="str">
        <f t="shared" si="0"/>
        <v/>
      </c>
      <c r="I19" s="26" t="str">
        <f t="shared" si="1"/>
        <v/>
      </c>
      <c r="J19" s="27">
        <f t="shared" si="2"/>
        <v>0</v>
      </c>
      <c r="K19" s="26">
        <v>0</v>
      </c>
      <c r="L19" s="23"/>
    </row>
    <row r="20" spans="1:12" x14ac:dyDescent="0.3">
      <c r="A20" s="22"/>
      <c r="B20" s="23"/>
      <c r="C20" s="23"/>
      <c r="D20" s="24"/>
      <c r="E20" s="25" t="str">
        <f>IF(C20="","",IFERROR(LOOKUP(2,1/(Precios!$B$5:$B$2004=C20),Precios!$C$5:$C$2004),0))</f>
        <v/>
      </c>
      <c r="F20" s="25" t="str">
        <f t="shared" si="3"/>
        <v/>
      </c>
      <c r="G20" s="26" t="str">
        <f>IF(C20="","",IFERROR(LOOKUP(2,1/(Precios!$B$5:$B$2004=C20),Precios!$C$5:$C$2004),0))</f>
        <v/>
      </c>
      <c r="H20" s="26" t="str">
        <f t="shared" si="0"/>
        <v/>
      </c>
      <c r="I20" s="26" t="str">
        <f t="shared" si="1"/>
        <v/>
      </c>
      <c r="J20" s="27">
        <f t="shared" si="2"/>
        <v>0</v>
      </c>
      <c r="K20" s="26">
        <v>0</v>
      </c>
      <c r="L20" s="23"/>
    </row>
    <row r="21" spans="1:12" x14ac:dyDescent="0.3">
      <c r="A21" s="22"/>
      <c r="B21" s="23"/>
      <c r="C21" s="23"/>
      <c r="D21" s="24"/>
      <c r="E21" s="25" t="str">
        <f>IF(C21="","",IFERROR(LOOKUP(2,1/(Precios!$B$5:$B$2004=C21),Precios!$C$5:$C$2004),0))</f>
        <v/>
      </c>
      <c r="F21" s="25" t="str">
        <f t="shared" si="3"/>
        <v/>
      </c>
      <c r="G21" s="26" t="str">
        <f>IF(C21="","",IFERROR(LOOKUP(2,1/(Precios!$B$5:$B$2004=C21),Precios!$C$5:$C$2004),0))</f>
        <v/>
      </c>
      <c r="H21" s="26" t="str">
        <f t="shared" si="0"/>
        <v/>
      </c>
      <c r="I21" s="26" t="str">
        <f t="shared" si="1"/>
        <v/>
      </c>
      <c r="J21" s="27">
        <f t="shared" si="2"/>
        <v>0</v>
      </c>
      <c r="K21" s="26">
        <v>0</v>
      </c>
      <c r="L21" s="23"/>
    </row>
    <row r="22" spans="1:12" x14ac:dyDescent="0.3">
      <c r="A22" s="22"/>
      <c r="B22" s="23"/>
      <c r="C22" s="23"/>
      <c r="D22" s="24"/>
      <c r="E22" s="25" t="str">
        <f>IF(C22="","",IFERROR(LOOKUP(2,1/(Precios!$B$5:$B$2004=C22),Precios!$C$5:$C$2004),0))</f>
        <v/>
      </c>
      <c r="F22" s="25" t="str">
        <f t="shared" si="3"/>
        <v/>
      </c>
      <c r="G22" s="26" t="str">
        <f>IF(C22="","",IFERROR(LOOKUP(2,1/(Precios!$B$5:$B$2004=C22),Precios!$C$5:$C$2004),0))</f>
        <v/>
      </c>
      <c r="H22" s="26" t="str">
        <f t="shared" si="0"/>
        <v/>
      </c>
      <c r="I22" s="26" t="str">
        <f t="shared" si="1"/>
        <v/>
      </c>
      <c r="J22" s="27">
        <f t="shared" si="2"/>
        <v>0</v>
      </c>
      <c r="K22" s="26">
        <v>0</v>
      </c>
      <c r="L22" s="23"/>
    </row>
    <row r="23" spans="1:12" x14ac:dyDescent="0.3">
      <c r="A23" s="22"/>
      <c r="B23" s="23"/>
      <c r="C23" s="23"/>
      <c r="D23" s="24"/>
      <c r="E23" s="25" t="str">
        <f>IF(C23="","",IFERROR(LOOKUP(2,1/(Precios!$B$5:$B$2004=C23),Precios!$C$5:$C$2004),0))</f>
        <v/>
      </c>
      <c r="F23" s="25" t="str">
        <f t="shared" si="3"/>
        <v/>
      </c>
      <c r="G23" s="26" t="str">
        <f>IF(C23="","",IFERROR(LOOKUP(2,1/(Precios!$B$5:$B$2004=C23),Precios!$C$5:$C$2004),0))</f>
        <v/>
      </c>
      <c r="H23" s="26" t="str">
        <f t="shared" si="0"/>
        <v/>
      </c>
      <c r="I23" s="26" t="str">
        <f t="shared" si="1"/>
        <v/>
      </c>
      <c r="J23" s="27">
        <f t="shared" si="2"/>
        <v>0</v>
      </c>
      <c r="K23" s="26">
        <v>0</v>
      </c>
      <c r="L23" s="23"/>
    </row>
    <row r="24" spans="1:12" x14ac:dyDescent="0.3">
      <c r="A24" s="22"/>
      <c r="B24" s="23"/>
      <c r="C24" s="23"/>
      <c r="D24" s="24"/>
      <c r="E24" s="25" t="str">
        <f>IF(C24="","",IFERROR(LOOKUP(2,1/(Precios!$B$5:$B$2004=C24),Precios!$C$5:$C$2004),0))</f>
        <v/>
      </c>
      <c r="F24" s="25" t="str">
        <f t="shared" si="3"/>
        <v/>
      </c>
      <c r="G24" s="26" t="str">
        <f>IF(C24="","",IFERROR(LOOKUP(2,1/(Precios!$B$5:$B$2004=C24),Precios!$C$5:$C$2004),0))</f>
        <v/>
      </c>
      <c r="H24" s="26" t="str">
        <f t="shared" si="0"/>
        <v/>
      </c>
      <c r="I24" s="26" t="str">
        <f t="shared" si="1"/>
        <v/>
      </c>
      <c r="J24" s="27">
        <f t="shared" si="2"/>
        <v>0</v>
      </c>
      <c r="K24" s="26">
        <v>0</v>
      </c>
      <c r="L24" s="23"/>
    </row>
    <row r="25" spans="1:12" x14ac:dyDescent="0.3">
      <c r="A25" s="22"/>
      <c r="B25" s="23"/>
      <c r="C25" s="23"/>
      <c r="D25" s="24"/>
      <c r="E25" s="25" t="str">
        <f>IF(C25="","",IFERROR(LOOKUP(2,1/(Precios!$B$5:$B$2004=C25),Precios!$C$5:$C$2004),0))</f>
        <v/>
      </c>
      <c r="F25" s="25" t="str">
        <f t="shared" si="3"/>
        <v/>
      </c>
      <c r="G25" s="26" t="str">
        <f>IF(C25="","",IFERROR(LOOKUP(2,1/(Precios!$B$5:$B$2004=C25),Precios!$C$5:$C$2004),0))</f>
        <v/>
      </c>
      <c r="H25" s="26" t="str">
        <f t="shared" si="0"/>
        <v/>
      </c>
      <c r="I25" s="26" t="str">
        <f t="shared" si="1"/>
        <v/>
      </c>
      <c r="J25" s="27">
        <f t="shared" si="2"/>
        <v>0</v>
      </c>
      <c r="K25" s="26">
        <v>0</v>
      </c>
      <c r="L25" s="23"/>
    </row>
    <row r="26" spans="1:12" x14ac:dyDescent="0.3">
      <c r="A26" s="22"/>
      <c r="B26" s="23"/>
      <c r="C26" s="23"/>
      <c r="D26" s="24"/>
      <c r="E26" s="25" t="str">
        <f>IF(C26="","",IFERROR(LOOKUP(2,1/(Precios!$B$5:$B$2004=C26),Precios!$C$5:$C$2004),0))</f>
        <v/>
      </c>
      <c r="F26" s="25" t="str">
        <f t="shared" si="3"/>
        <v/>
      </c>
      <c r="G26" s="26" t="str">
        <f>IF(C26="","",IFERROR(LOOKUP(2,1/(Precios!$B$5:$B$2004=C26),Precios!$C$5:$C$2004),0))</f>
        <v/>
      </c>
      <c r="H26" s="26" t="str">
        <f t="shared" si="0"/>
        <v/>
      </c>
      <c r="I26" s="26" t="str">
        <f t="shared" si="1"/>
        <v/>
      </c>
      <c r="J26" s="27">
        <f t="shared" si="2"/>
        <v>0</v>
      </c>
      <c r="K26" s="26">
        <v>0</v>
      </c>
      <c r="L26" s="23"/>
    </row>
    <row r="27" spans="1:12" x14ac:dyDescent="0.3">
      <c r="A27" s="22"/>
      <c r="B27" s="23"/>
      <c r="C27" s="23"/>
      <c r="D27" s="24"/>
      <c r="E27" s="25" t="str">
        <f>IF(C27="","",IFERROR(LOOKUP(2,1/(Precios!$B$5:$B$2004=C27),Precios!$C$5:$C$2004),0))</f>
        <v/>
      </c>
      <c r="F27" s="25" t="str">
        <f t="shared" si="3"/>
        <v/>
      </c>
      <c r="G27" s="26" t="str">
        <f>IF(C27="","",IFERROR(LOOKUP(2,1/(Precios!$B$5:$B$2004=C27),Precios!$C$5:$C$2004),0))</f>
        <v/>
      </c>
      <c r="H27" s="26" t="str">
        <f t="shared" si="0"/>
        <v/>
      </c>
      <c r="I27" s="26" t="str">
        <f t="shared" si="1"/>
        <v/>
      </c>
      <c r="J27" s="27">
        <f t="shared" si="2"/>
        <v>0</v>
      </c>
      <c r="K27" s="26">
        <v>0</v>
      </c>
      <c r="L27" s="23"/>
    </row>
    <row r="28" spans="1:12" x14ac:dyDescent="0.3">
      <c r="A28" s="22"/>
      <c r="B28" s="23"/>
      <c r="C28" s="23"/>
      <c r="D28" s="24"/>
      <c r="E28" s="25" t="str">
        <f>IF(C28="","",IFERROR(LOOKUP(2,1/(Precios!$B$5:$B$2004=C28),Precios!$C$5:$C$2004),0))</f>
        <v/>
      </c>
      <c r="F28" s="25" t="str">
        <f t="shared" si="3"/>
        <v/>
      </c>
      <c r="G28" s="26" t="str">
        <f>IF(C28="","",IFERROR(LOOKUP(2,1/(Precios!$B$5:$B$2004=C28),Precios!$C$5:$C$2004),0))</f>
        <v/>
      </c>
      <c r="H28" s="26" t="str">
        <f t="shared" si="0"/>
        <v/>
      </c>
      <c r="I28" s="26" t="str">
        <f t="shared" si="1"/>
        <v/>
      </c>
      <c r="J28" s="27">
        <f t="shared" si="2"/>
        <v>0</v>
      </c>
      <c r="K28" s="26">
        <v>0</v>
      </c>
      <c r="L28" s="23"/>
    </row>
    <row r="29" spans="1:12" x14ac:dyDescent="0.3">
      <c r="A29" s="22"/>
      <c r="B29" s="23"/>
      <c r="C29" s="23"/>
      <c r="D29" s="24"/>
      <c r="E29" s="25" t="str">
        <f>IF(C29="","",IFERROR(LOOKUP(2,1/(Precios!$B$5:$B$2004=C29),Precios!$C$5:$C$2004),0))</f>
        <v/>
      </c>
      <c r="F29" s="25" t="str">
        <f t="shared" si="3"/>
        <v/>
      </c>
      <c r="G29" s="26" t="str">
        <f>IF(C29="","",IFERROR(LOOKUP(2,1/(Precios!$B$5:$B$2004=C29),Precios!$C$5:$C$2004),0))</f>
        <v/>
      </c>
      <c r="H29" s="26" t="str">
        <f t="shared" si="0"/>
        <v/>
      </c>
      <c r="I29" s="26" t="str">
        <f t="shared" si="1"/>
        <v/>
      </c>
      <c r="J29" s="27">
        <f t="shared" si="2"/>
        <v>0</v>
      </c>
      <c r="K29" s="26">
        <v>0</v>
      </c>
      <c r="L29" s="23"/>
    </row>
    <row r="30" spans="1:12" x14ac:dyDescent="0.3">
      <c r="A30" s="22"/>
      <c r="B30" s="23"/>
      <c r="C30" s="23"/>
      <c r="D30" s="24"/>
      <c r="E30" s="25" t="str">
        <f>IF(C30="","",IFERROR(LOOKUP(2,1/(Precios!$B$5:$B$2004=C30),Precios!$C$5:$C$2004),0))</f>
        <v/>
      </c>
      <c r="F30" s="25" t="str">
        <f t="shared" si="3"/>
        <v/>
      </c>
      <c r="G30" s="26" t="str">
        <f>IF(C30="","",IFERROR(LOOKUP(2,1/(Precios!$B$5:$B$2004=C30),Precios!$C$5:$C$2004),0))</f>
        <v/>
      </c>
      <c r="H30" s="26" t="str">
        <f t="shared" si="0"/>
        <v/>
      </c>
      <c r="I30" s="26" t="str">
        <f t="shared" si="1"/>
        <v/>
      </c>
      <c r="J30" s="27">
        <f t="shared" si="2"/>
        <v>0</v>
      </c>
      <c r="K30" s="26">
        <v>0</v>
      </c>
      <c r="L30" s="23"/>
    </row>
    <row r="31" spans="1:12" x14ac:dyDescent="0.3">
      <c r="A31" s="22"/>
      <c r="B31" s="23"/>
      <c r="C31" s="23"/>
      <c r="D31" s="24"/>
      <c r="E31" s="25" t="str">
        <f>IF(C31="","",IFERROR(LOOKUP(2,1/(Precios!$B$5:$B$2004=C31),Precios!$C$5:$C$2004),0))</f>
        <v/>
      </c>
      <c r="F31" s="25" t="str">
        <f t="shared" si="3"/>
        <v/>
      </c>
      <c r="G31" s="26" t="str">
        <f>IF(C31="","",IFERROR(LOOKUP(2,1/(Precios!$B$5:$B$2004=C31),Precios!$C$5:$C$2004),0))</f>
        <v/>
      </c>
      <c r="H31" s="26" t="str">
        <f t="shared" si="0"/>
        <v/>
      </c>
      <c r="I31" s="26" t="str">
        <f t="shared" si="1"/>
        <v/>
      </c>
      <c r="J31" s="27">
        <f t="shared" si="2"/>
        <v>0</v>
      </c>
      <c r="K31" s="26">
        <v>0</v>
      </c>
      <c r="L31" s="23"/>
    </row>
    <row r="32" spans="1:12" x14ac:dyDescent="0.3">
      <c r="A32" s="22"/>
      <c r="B32" s="23"/>
      <c r="C32" s="23"/>
      <c r="D32" s="24"/>
      <c r="E32" s="25" t="str">
        <f>IF(C32="","",IFERROR(LOOKUP(2,1/(Precios!$B$5:$B$2004=C32),Precios!$C$5:$C$2004),0))</f>
        <v/>
      </c>
      <c r="F32" s="25" t="str">
        <f t="shared" si="3"/>
        <v/>
      </c>
      <c r="G32" s="26" t="str">
        <f>IF(C32="","",IFERROR(LOOKUP(2,1/(Precios!$B$5:$B$2004=C32),Precios!$C$5:$C$2004),0))</f>
        <v/>
      </c>
      <c r="H32" s="26" t="str">
        <f t="shared" si="0"/>
        <v/>
      </c>
      <c r="I32" s="26" t="str">
        <f t="shared" si="1"/>
        <v/>
      </c>
      <c r="J32" s="27">
        <f t="shared" si="2"/>
        <v>0</v>
      </c>
      <c r="K32" s="26">
        <v>0</v>
      </c>
      <c r="L32" s="23"/>
    </row>
    <row r="33" spans="1:12" x14ac:dyDescent="0.3">
      <c r="A33" s="22"/>
      <c r="B33" s="23"/>
      <c r="C33" s="23"/>
      <c r="D33" s="24"/>
      <c r="E33" s="25" t="str">
        <f>IF(C33="","",IFERROR(LOOKUP(2,1/(Precios!$B$5:$B$2004=C33),Precios!$C$5:$C$2004),0))</f>
        <v/>
      </c>
      <c r="F33" s="25" t="str">
        <f t="shared" si="3"/>
        <v/>
      </c>
      <c r="G33" s="26" t="str">
        <f>IF(C33="","",IFERROR(LOOKUP(2,1/(Precios!$B$5:$B$2004=C33),Precios!$C$5:$C$2004),0))</f>
        <v/>
      </c>
      <c r="H33" s="26" t="str">
        <f t="shared" si="0"/>
        <v/>
      </c>
      <c r="I33" s="26" t="str">
        <f t="shared" si="1"/>
        <v/>
      </c>
      <c r="J33" s="27">
        <f t="shared" si="2"/>
        <v>0</v>
      </c>
      <c r="K33" s="26">
        <v>0</v>
      </c>
      <c r="L33" s="23"/>
    </row>
    <row r="34" spans="1:12" x14ac:dyDescent="0.3">
      <c r="A34" s="22"/>
      <c r="B34" s="23"/>
      <c r="C34" s="23"/>
      <c r="D34" s="24"/>
      <c r="E34" s="25" t="str">
        <f>IF(C34="","",IFERROR(LOOKUP(2,1/(Precios!$B$5:$B$2004=C34),Precios!$C$5:$C$2004),0))</f>
        <v/>
      </c>
      <c r="F34" s="25" t="str">
        <f t="shared" si="3"/>
        <v/>
      </c>
      <c r="G34" s="26" t="str">
        <f>IF(C34="","",IFERROR(LOOKUP(2,1/(Precios!$B$5:$B$2004=C34),Precios!$C$5:$C$2004),0))</f>
        <v/>
      </c>
      <c r="H34" s="26" t="str">
        <f t="shared" si="0"/>
        <v/>
      </c>
      <c r="I34" s="26" t="str">
        <f t="shared" si="1"/>
        <v/>
      </c>
      <c r="J34" s="27">
        <f t="shared" si="2"/>
        <v>0</v>
      </c>
      <c r="K34" s="26">
        <v>0</v>
      </c>
      <c r="L34" s="23"/>
    </row>
    <row r="35" spans="1:12" x14ac:dyDescent="0.3">
      <c r="A35" s="22"/>
      <c r="B35" s="23"/>
      <c r="C35" s="23"/>
      <c r="D35" s="24"/>
      <c r="E35" s="25" t="str">
        <f>IF(C35="","",IFERROR(LOOKUP(2,1/(Precios!$B$5:$B$2004=C35),Precios!$C$5:$C$2004),0))</f>
        <v/>
      </c>
      <c r="F35" s="25" t="str">
        <f t="shared" si="3"/>
        <v/>
      </c>
      <c r="G35" s="26" t="str">
        <f>IF(C35="","",IFERROR(LOOKUP(2,1/(Precios!$B$5:$B$2004=C35),Precios!$C$5:$C$2004),0))</f>
        <v/>
      </c>
      <c r="H35" s="26" t="str">
        <f t="shared" si="0"/>
        <v/>
      </c>
      <c r="I35" s="26" t="str">
        <f t="shared" si="1"/>
        <v/>
      </c>
      <c r="J35" s="27">
        <f t="shared" si="2"/>
        <v>0</v>
      </c>
      <c r="K35" s="26">
        <v>0</v>
      </c>
      <c r="L35" s="23"/>
    </row>
    <row r="36" spans="1:12" x14ac:dyDescent="0.3">
      <c r="A36" s="22"/>
      <c r="B36" s="23"/>
      <c r="C36" s="23"/>
      <c r="D36" s="24"/>
      <c r="E36" s="25" t="str">
        <f>IF(C36="","",IFERROR(LOOKUP(2,1/(Precios!$B$5:$B$2004=C36),Precios!$C$5:$C$2004),0))</f>
        <v/>
      </c>
      <c r="F36" s="25" t="str">
        <f t="shared" si="3"/>
        <v/>
      </c>
      <c r="G36" s="26" t="str">
        <f>IF(C36="","",IFERROR(LOOKUP(2,1/(Precios!$B$5:$B$2004=C36),Precios!$C$5:$C$2004),0))</f>
        <v/>
      </c>
      <c r="H36" s="26" t="str">
        <f t="shared" si="0"/>
        <v/>
      </c>
      <c r="I36" s="26" t="str">
        <f t="shared" si="1"/>
        <v/>
      </c>
      <c r="J36" s="27">
        <f t="shared" si="2"/>
        <v>0</v>
      </c>
      <c r="K36" s="26">
        <v>0</v>
      </c>
      <c r="L36" s="23"/>
    </row>
    <row r="37" spans="1:12" x14ac:dyDescent="0.3">
      <c r="A37" s="22"/>
      <c r="B37" s="23"/>
      <c r="C37" s="23"/>
      <c r="D37" s="24"/>
      <c r="E37" s="25" t="str">
        <f>IF(C37="","",IFERROR(LOOKUP(2,1/(Precios!$B$5:$B$2004=C37),Precios!$C$5:$C$2004),0))</f>
        <v/>
      </c>
      <c r="F37" s="25" t="str">
        <f t="shared" si="3"/>
        <v/>
      </c>
      <c r="G37" s="26" t="str">
        <f>IF(C37="","",IFERROR(LOOKUP(2,1/(Precios!$B$5:$B$2004=C37),Precios!$C$5:$C$2004),0))</f>
        <v/>
      </c>
      <c r="H37" s="26" t="str">
        <f t="shared" ref="H37:H68" si="4">IF(D37="","",D37*G37)</f>
        <v/>
      </c>
      <c r="I37" s="26" t="str">
        <f t="shared" ref="I37:I68" si="5">IF(OR(H37="",F37=""),"",H37-F37)</f>
        <v/>
      </c>
      <c r="J37" s="27">
        <f t="shared" ref="J37:J68" si="6">IFERROR(I37/F37,0)</f>
        <v>0</v>
      </c>
      <c r="K37" s="26">
        <v>0</v>
      </c>
      <c r="L37" s="23"/>
    </row>
    <row r="38" spans="1:12" x14ac:dyDescent="0.3">
      <c r="A38" s="22"/>
      <c r="B38" s="23"/>
      <c r="C38" s="23"/>
      <c r="D38" s="24"/>
      <c r="E38" s="25" t="str">
        <f>IF(C38="","",IFERROR(LOOKUP(2,1/(Precios!$B$5:$B$2004=C38),Precios!$C$5:$C$2004),0))</f>
        <v/>
      </c>
      <c r="F38" s="25" t="str">
        <f t="shared" ref="F38:F69" si="7">IF(D38="","",D38*E38)</f>
        <v/>
      </c>
      <c r="G38" s="26" t="str">
        <f>IF(C38="","",IFERROR(LOOKUP(2,1/(Precios!$B$5:$B$2004=C38),Precios!$C$5:$C$2004),0))</f>
        <v/>
      </c>
      <c r="H38" s="26" t="str">
        <f t="shared" si="4"/>
        <v/>
      </c>
      <c r="I38" s="26" t="str">
        <f t="shared" si="5"/>
        <v/>
      </c>
      <c r="J38" s="27">
        <f t="shared" si="6"/>
        <v>0</v>
      </c>
      <c r="K38" s="26">
        <v>0</v>
      </c>
      <c r="L38" s="23"/>
    </row>
    <row r="39" spans="1:12" x14ac:dyDescent="0.3">
      <c r="A39" s="22"/>
      <c r="B39" s="23"/>
      <c r="C39" s="23"/>
      <c r="D39" s="24"/>
      <c r="E39" s="25" t="str">
        <f>IF(C39="","",IFERROR(LOOKUP(2,1/(Precios!$B$5:$B$2004=C39),Precios!$C$5:$C$2004),0))</f>
        <v/>
      </c>
      <c r="F39" s="25" t="str">
        <f t="shared" si="7"/>
        <v/>
      </c>
      <c r="G39" s="26" t="str">
        <f>IF(C39="","",IFERROR(LOOKUP(2,1/(Precios!$B$5:$B$2004=C39),Precios!$C$5:$C$2004),0))</f>
        <v/>
      </c>
      <c r="H39" s="26" t="str">
        <f t="shared" si="4"/>
        <v/>
      </c>
      <c r="I39" s="26" t="str">
        <f t="shared" si="5"/>
        <v/>
      </c>
      <c r="J39" s="27">
        <f t="shared" si="6"/>
        <v>0</v>
      </c>
      <c r="K39" s="26">
        <v>0</v>
      </c>
      <c r="L39" s="23"/>
    </row>
    <row r="40" spans="1:12" x14ac:dyDescent="0.3">
      <c r="A40" s="22"/>
      <c r="B40" s="23"/>
      <c r="C40" s="23"/>
      <c r="D40" s="24"/>
      <c r="E40" s="25" t="str">
        <f>IF(C40="","",IFERROR(LOOKUP(2,1/(Precios!$B$5:$B$2004=C40),Precios!$C$5:$C$2004),0))</f>
        <v/>
      </c>
      <c r="F40" s="25" t="str">
        <f t="shared" si="7"/>
        <v/>
      </c>
      <c r="G40" s="26" t="str">
        <f>IF(C40="","",IFERROR(LOOKUP(2,1/(Precios!$B$5:$B$2004=C40),Precios!$C$5:$C$2004),0))</f>
        <v/>
      </c>
      <c r="H40" s="26" t="str">
        <f t="shared" si="4"/>
        <v/>
      </c>
      <c r="I40" s="26" t="str">
        <f t="shared" si="5"/>
        <v/>
      </c>
      <c r="J40" s="27">
        <f t="shared" si="6"/>
        <v>0</v>
      </c>
      <c r="K40" s="26">
        <v>0</v>
      </c>
      <c r="L40" s="23"/>
    </row>
    <row r="41" spans="1:12" x14ac:dyDescent="0.3">
      <c r="A41" s="22"/>
      <c r="B41" s="23"/>
      <c r="C41" s="23"/>
      <c r="D41" s="24"/>
      <c r="E41" s="25" t="str">
        <f>IF(C41="","",IFERROR(LOOKUP(2,1/(Precios!$B$5:$B$2004=C41),Precios!$C$5:$C$2004),0))</f>
        <v/>
      </c>
      <c r="F41" s="25" t="str">
        <f t="shared" si="7"/>
        <v/>
      </c>
      <c r="G41" s="26" t="str">
        <f>IF(C41="","",IFERROR(LOOKUP(2,1/(Precios!$B$5:$B$2004=C41),Precios!$C$5:$C$2004),0))</f>
        <v/>
      </c>
      <c r="H41" s="26" t="str">
        <f t="shared" si="4"/>
        <v/>
      </c>
      <c r="I41" s="26" t="str">
        <f t="shared" si="5"/>
        <v/>
      </c>
      <c r="J41" s="27">
        <f t="shared" si="6"/>
        <v>0</v>
      </c>
      <c r="K41" s="26">
        <v>0</v>
      </c>
      <c r="L41" s="23"/>
    </row>
    <row r="42" spans="1:12" x14ac:dyDescent="0.3">
      <c r="A42" s="22"/>
      <c r="B42" s="23"/>
      <c r="C42" s="23"/>
      <c r="D42" s="24"/>
      <c r="E42" s="25" t="str">
        <f>IF(C42="","",IFERROR(LOOKUP(2,1/(Precios!$B$5:$B$2004=C42),Precios!$C$5:$C$2004),0))</f>
        <v/>
      </c>
      <c r="F42" s="25" t="str">
        <f t="shared" si="7"/>
        <v/>
      </c>
      <c r="G42" s="26" t="str">
        <f>IF(C42="","",IFERROR(LOOKUP(2,1/(Precios!$B$5:$B$2004=C42),Precios!$C$5:$C$2004),0))</f>
        <v/>
      </c>
      <c r="H42" s="26" t="str">
        <f t="shared" si="4"/>
        <v/>
      </c>
      <c r="I42" s="26" t="str">
        <f t="shared" si="5"/>
        <v/>
      </c>
      <c r="J42" s="27">
        <f t="shared" si="6"/>
        <v>0</v>
      </c>
      <c r="K42" s="26">
        <v>0</v>
      </c>
      <c r="L42" s="23"/>
    </row>
    <row r="43" spans="1:12" x14ac:dyDescent="0.3">
      <c r="A43" s="22"/>
      <c r="B43" s="23"/>
      <c r="C43" s="23"/>
      <c r="D43" s="24"/>
      <c r="E43" s="25" t="str">
        <f>IF(C43="","",IFERROR(LOOKUP(2,1/(Precios!$B$5:$B$2004=C43),Precios!$C$5:$C$2004),0))</f>
        <v/>
      </c>
      <c r="F43" s="25" t="str">
        <f t="shared" si="7"/>
        <v/>
      </c>
      <c r="G43" s="26" t="str">
        <f>IF(C43="","",IFERROR(LOOKUP(2,1/(Precios!$B$5:$B$2004=C43),Precios!$C$5:$C$2004),0))</f>
        <v/>
      </c>
      <c r="H43" s="26" t="str">
        <f t="shared" si="4"/>
        <v/>
      </c>
      <c r="I43" s="26" t="str">
        <f t="shared" si="5"/>
        <v/>
      </c>
      <c r="J43" s="27">
        <f t="shared" si="6"/>
        <v>0</v>
      </c>
      <c r="K43" s="26">
        <v>0</v>
      </c>
      <c r="L43" s="23"/>
    </row>
    <row r="44" spans="1:12" x14ac:dyDescent="0.3">
      <c r="A44" s="22"/>
      <c r="B44" s="23"/>
      <c r="C44" s="23"/>
      <c r="D44" s="24"/>
      <c r="E44" s="25" t="str">
        <f>IF(C44="","",IFERROR(LOOKUP(2,1/(Precios!$B$5:$B$2004=C44),Precios!$C$5:$C$2004),0))</f>
        <v/>
      </c>
      <c r="F44" s="25" t="str">
        <f t="shared" si="7"/>
        <v/>
      </c>
      <c r="G44" s="26" t="str">
        <f>IF(C44="","",IFERROR(LOOKUP(2,1/(Precios!$B$5:$B$2004=C44),Precios!$C$5:$C$2004),0))</f>
        <v/>
      </c>
      <c r="H44" s="26" t="str">
        <f t="shared" si="4"/>
        <v/>
      </c>
      <c r="I44" s="26" t="str">
        <f t="shared" si="5"/>
        <v/>
      </c>
      <c r="J44" s="27">
        <f t="shared" si="6"/>
        <v>0</v>
      </c>
      <c r="K44" s="26">
        <v>0</v>
      </c>
      <c r="L44" s="23"/>
    </row>
    <row r="45" spans="1:12" x14ac:dyDescent="0.3">
      <c r="A45" s="22"/>
      <c r="B45" s="23"/>
      <c r="C45" s="23"/>
      <c r="D45" s="24"/>
      <c r="E45" s="25" t="str">
        <f>IF(C45="","",IFERROR(LOOKUP(2,1/(Precios!$B$5:$B$2004=C45),Precios!$C$5:$C$2004),0))</f>
        <v/>
      </c>
      <c r="F45" s="25" t="str">
        <f t="shared" si="7"/>
        <v/>
      </c>
      <c r="G45" s="26" t="str">
        <f>IF(C45="","",IFERROR(LOOKUP(2,1/(Precios!$B$5:$B$2004=C45),Precios!$C$5:$C$2004),0))</f>
        <v/>
      </c>
      <c r="H45" s="26" t="str">
        <f t="shared" si="4"/>
        <v/>
      </c>
      <c r="I45" s="26" t="str">
        <f t="shared" si="5"/>
        <v/>
      </c>
      <c r="J45" s="27">
        <f t="shared" si="6"/>
        <v>0</v>
      </c>
      <c r="K45" s="26">
        <v>0</v>
      </c>
      <c r="L45" s="23"/>
    </row>
    <row r="46" spans="1:12" x14ac:dyDescent="0.3">
      <c r="A46" s="22"/>
      <c r="B46" s="23"/>
      <c r="C46" s="23"/>
      <c r="D46" s="24"/>
      <c r="E46" s="25" t="str">
        <f>IF(C46="","",IFERROR(LOOKUP(2,1/(Precios!$B$5:$B$2004=C46),Precios!$C$5:$C$2004),0))</f>
        <v/>
      </c>
      <c r="F46" s="25" t="str">
        <f t="shared" si="7"/>
        <v/>
      </c>
      <c r="G46" s="26" t="str">
        <f>IF(C46="","",IFERROR(LOOKUP(2,1/(Precios!$B$5:$B$2004=C46),Precios!$C$5:$C$2004),0))</f>
        <v/>
      </c>
      <c r="H46" s="26" t="str">
        <f t="shared" si="4"/>
        <v/>
      </c>
      <c r="I46" s="26" t="str">
        <f t="shared" si="5"/>
        <v/>
      </c>
      <c r="J46" s="27">
        <f t="shared" si="6"/>
        <v>0</v>
      </c>
      <c r="K46" s="26">
        <v>0</v>
      </c>
      <c r="L46" s="23"/>
    </row>
    <row r="47" spans="1:12" x14ac:dyDescent="0.3">
      <c r="A47" s="22"/>
      <c r="B47" s="23"/>
      <c r="C47" s="23"/>
      <c r="D47" s="24"/>
      <c r="E47" s="25" t="str">
        <f>IF(C47="","",IFERROR(LOOKUP(2,1/(Precios!$B$5:$B$2004=C47),Precios!$C$5:$C$2004),0))</f>
        <v/>
      </c>
      <c r="F47" s="25" t="str">
        <f t="shared" si="7"/>
        <v/>
      </c>
      <c r="G47" s="26" t="str">
        <f>IF(C47="","",IFERROR(LOOKUP(2,1/(Precios!$B$5:$B$2004=C47),Precios!$C$5:$C$2004),0))</f>
        <v/>
      </c>
      <c r="H47" s="26" t="str">
        <f t="shared" si="4"/>
        <v/>
      </c>
      <c r="I47" s="26" t="str">
        <f t="shared" si="5"/>
        <v/>
      </c>
      <c r="J47" s="27">
        <f t="shared" si="6"/>
        <v>0</v>
      </c>
      <c r="K47" s="26">
        <v>0</v>
      </c>
      <c r="L47" s="23"/>
    </row>
    <row r="48" spans="1:12" x14ac:dyDescent="0.3">
      <c r="A48" s="22"/>
      <c r="B48" s="23"/>
      <c r="C48" s="23"/>
      <c r="D48" s="24"/>
      <c r="E48" s="25" t="str">
        <f>IF(C48="","",IFERROR(LOOKUP(2,1/(Precios!$B$5:$B$2004=C48),Precios!$C$5:$C$2004),0))</f>
        <v/>
      </c>
      <c r="F48" s="25" t="str">
        <f t="shared" si="7"/>
        <v/>
      </c>
      <c r="G48" s="26" t="str">
        <f>IF(C48="","",IFERROR(LOOKUP(2,1/(Precios!$B$5:$B$2004=C48),Precios!$C$5:$C$2004),0))</f>
        <v/>
      </c>
      <c r="H48" s="26" t="str">
        <f t="shared" si="4"/>
        <v/>
      </c>
      <c r="I48" s="26" t="str">
        <f t="shared" si="5"/>
        <v/>
      </c>
      <c r="J48" s="27">
        <f t="shared" si="6"/>
        <v>0</v>
      </c>
      <c r="K48" s="26">
        <v>0</v>
      </c>
      <c r="L48" s="23"/>
    </row>
    <row r="49" spans="1:12" x14ac:dyDescent="0.3">
      <c r="A49" s="22"/>
      <c r="B49" s="23"/>
      <c r="C49" s="23"/>
      <c r="D49" s="24"/>
      <c r="E49" s="25" t="str">
        <f>IF(C49="","",IFERROR(LOOKUP(2,1/(Precios!$B$5:$B$2004=C49),Precios!$C$5:$C$2004),0))</f>
        <v/>
      </c>
      <c r="F49" s="25" t="str">
        <f t="shared" si="7"/>
        <v/>
      </c>
      <c r="G49" s="26" t="str">
        <f>IF(C49="","",IFERROR(LOOKUP(2,1/(Precios!$B$5:$B$2004=C49),Precios!$C$5:$C$2004),0))</f>
        <v/>
      </c>
      <c r="H49" s="26" t="str">
        <f t="shared" si="4"/>
        <v/>
      </c>
      <c r="I49" s="26" t="str">
        <f t="shared" si="5"/>
        <v/>
      </c>
      <c r="J49" s="27">
        <f t="shared" si="6"/>
        <v>0</v>
      </c>
      <c r="K49" s="26">
        <v>0</v>
      </c>
      <c r="L49" s="23"/>
    </row>
    <row r="50" spans="1:12" x14ac:dyDescent="0.3">
      <c r="A50" s="22"/>
      <c r="B50" s="23"/>
      <c r="C50" s="23"/>
      <c r="D50" s="24"/>
      <c r="E50" s="25" t="str">
        <f>IF(C50="","",IFERROR(LOOKUP(2,1/(Precios!$B$5:$B$2004=C50),Precios!$C$5:$C$2004),0))</f>
        <v/>
      </c>
      <c r="F50" s="25" t="str">
        <f t="shared" si="7"/>
        <v/>
      </c>
      <c r="G50" s="26" t="str">
        <f>IF(C50="","",IFERROR(LOOKUP(2,1/(Precios!$B$5:$B$2004=C50),Precios!$C$5:$C$2004),0))</f>
        <v/>
      </c>
      <c r="H50" s="26" t="str">
        <f t="shared" si="4"/>
        <v/>
      </c>
      <c r="I50" s="26" t="str">
        <f t="shared" si="5"/>
        <v/>
      </c>
      <c r="J50" s="27">
        <f t="shared" si="6"/>
        <v>0</v>
      </c>
      <c r="K50" s="26">
        <v>0</v>
      </c>
      <c r="L50" s="23"/>
    </row>
    <row r="51" spans="1:12" x14ac:dyDescent="0.3">
      <c r="A51" s="22"/>
      <c r="B51" s="23"/>
      <c r="C51" s="23"/>
      <c r="D51" s="24"/>
      <c r="E51" s="25" t="str">
        <f>IF(C51="","",IFERROR(LOOKUP(2,1/(Precios!$B$5:$B$2004=C51),Precios!$C$5:$C$2004),0))</f>
        <v/>
      </c>
      <c r="F51" s="25" t="str">
        <f t="shared" si="7"/>
        <v/>
      </c>
      <c r="G51" s="26" t="str">
        <f>IF(C51="","",IFERROR(LOOKUP(2,1/(Precios!$B$5:$B$2004=C51),Precios!$C$5:$C$2004),0))</f>
        <v/>
      </c>
      <c r="H51" s="26" t="str">
        <f t="shared" si="4"/>
        <v/>
      </c>
      <c r="I51" s="26" t="str">
        <f t="shared" si="5"/>
        <v/>
      </c>
      <c r="J51" s="27">
        <f t="shared" si="6"/>
        <v>0</v>
      </c>
      <c r="K51" s="26">
        <v>0</v>
      </c>
      <c r="L51" s="23"/>
    </row>
    <row r="52" spans="1:12" x14ac:dyDescent="0.3">
      <c r="A52" s="22"/>
      <c r="B52" s="23"/>
      <c r="C52" s="23"/>
      <c r="D52" s="24"/>
      <c r="E52" s="25" t="str">
        <f>IF(C52="","",IFERROR(LOOKUP(2,1/(Precios!$B$5:$B$2004=C52),Precios!$C$5:$C$2004),0))</f>
        <v/>
      </c>
      <c r="F52" s="25" t="str">
        <f t="shared" si="7"/>
        <v/>
      </c>
      <c r="G52" s="26" t="str">
        <f>IF(C52="","",IFERROR(LOOKUP(2,1/(Precios!$B$5:$B$2004=C52),Precios!$C$5:$C$2004),0))</f>
        <v/>
      </c>
      <c r="H52" s="26" t="str">
        <f t="shared" si="4"/>
        <v/>
      </c>
      <c r="I52" s="26" t="str">
        <f t="shared" si="5"/>
        <v/>
      </c>
      <c r="J52" s="27">
        <f t="shared" si="6"/>
        <v>0</v>
      </c>
      <c r="K52" s="26">
        <v>0</v>
      </c>
      <c r="L52" s="23"/>
    </row>
    <row r="53" spans="1:12" x14ac:dyDescent="0.3">
      <c r="A53" s="22"/>
      <c r="B53" s="23"/>
      <c r="C53" s="23"/>
      <c r="D53" s="24"/>
      <c r="E53" s="25" t="str">
        <f>IF(C53="","",IFERROR(LOOKUP(2,1/(Precios!$B$5:$B$2004=C53),Precios!$C$5:$C$2004),0))</f>
        <v/>
      </c>
      <c r="F53" s="25" t="str">
        <f t="shared" si="7"/>
        <v/>
      </c>
      <c r="G53" s="26" t="str">
        <f>IF(C53="","",IFERROR(LOOKUP(2,1/(Precios!$B$5:$B$2004=C53),Precios!$C$5:$C$2004),0))</f>
        <v/>
      </c>
      <c r="H53" s="26" t="str">
        <f t="shared" si="4"/>
        <v/>
      </c>
      <c r="I53" s="26" t="str">
        <f t="shared" si="5"/>
        <v/>
      </c>
      <c r="J53" s="27">
        <f t="shared" si="6"/>
        <v>0</v>
      </c>
      <c r="K53" s="26">
        <v>0</v>
      </c>
      <c r="L53" s="23"/>
    </row>
    <row r="54" spans="1:12" x14ac:dyDescent="0.3">
      <c r="A54" s="22"/>
      <c r="B54" s="23"/>
      <c r="C54" s="23"/>
      <c r="D54" s="24"/>
      <c r="E54" s="25" t="str">
        <f>IF(C54="","",IFERROR(LOOKUP(2,1/(Precios!$B$5:$B$2004=C54),Precios!$C$5:$C$2004),0))</f>
        <v/>
      </c>
      <c r="F54" s="25" t="str">
        <f t="shared" si="7"/>
        <v/>
      </c>
      <c r="G54" s="26" t="str">
        <f>IF(C54="","",IFERROR(LOOKUP(2,1/(Precios!$B$5:$B$2004=C54),Precios!$C$5:$C$2004),0))</f>
        <v/>
      </c>
      <c r="H54" s="26" t="str">
        <f t="shared" si="4"/>
        <v/>
      </c>
      <c r="I54" s="26" t="str">
        <f t="shared" si="5"/>
        <v/>
      </c>
      <c r="J54" s="27">
        <f t="shared" si="6"/>
        <v>0</v>
      </c>
      <c r="K54" s="26">
        <v>0</v>
      </c>
      <c r="L54" s="23"/>
    </row>
    <row r="55" spans="1:12" x14ac:dyDescent="0.3">
      <c r="A55" s="22"/>
      <c r="B55" s="23"/>
      <c r="C55" s="23"/>
      <c r="D55" s="24"/>
      <c r="E55" s="25" t="str">
        <f>IF(C55="","",IFERROR(LOOKUP(2,1/(Precios!$B$5:$B$2004=C55),Precios!$C$5:$C$2004),0))</f>
        <v/>
      </c>
      <c r="F55" s="25" t="str">
        <f t="shared" si="7"/>
        <v/>
      </c>
      <c r="G55" s="26" t="str">
        <f>IF(C55="","",IFERROR(LOOKUP(2,1/(Precios!$B$5:$B$2004=C55),Precios!$C$5:$C$2004),0))</f>
        <v/>
      </c>
      <c r="H55" s="26" t="str">
        <f t="shared" si="4"/>
        <v/>
      </c>
      <c r="I55" s="26" t="str">
        <f t="shared" si="5"/>
        <v/>
      </c>
      <c r="J55" s="27">
        <f t="shared" si="6"/>
        <v>0</v>
      </c>
      <c r="K55" s="26">
        <v>0</v>
      </c>
      <c r="L55" s="23"/>
    </row>
    <row r="56" spans="1:12" x14ac:dyDescent="0.3">
      <c r="A56" s="22"/>
      <c r="B56" s="23"/>
      <c r="C56" s="23"/>
      <c r="D56" s="24"/>
      <c r="E56" s="25" t="str">
        <f>IF(C56="","",IFERROR(LOOKUP(2,1/(Precios!$B$5:$B$2004=C56),Precios!$C$5:$C$2004),0))</f>
        <v/>
      </c>
      <c r="F56" s="25" t="str">
        <f t="shared" si="7"/>
        <v/>
      </c>
      <c r="G56" s="26" t="str">
        <f>IF(C56="","",IFERROR(LOOKUP(2,1/(Precios!$B$5:$B$2004=C56),Precios!$C$5:$C$2004),0))</f>
        <v/>
      </c>
      <c r="H56" s="26" t="str">
        <f t="shared" si="4"/>
        <v/>
      </c>
      <c r="I56" s="26" t="str">
        <f t="shared" si="5"/>
        <v/>
      </c>
      <c r="J56" s="27">
        <f t="shared" si="6"/>
        <v>0</v>
      </c>
      <c r="K56" s="26">
        <v>0</v>
      </c>
      <c r="L56" s="23"/>
    </row>
    <row r="57" spans="1:12" x14ac:dyDescent="0.3">
      <c r="A57" s="22"/>
      <c r="B57" s="23"/>
      <c r="C57" s="23"/>
      <c r="D57" s="24"/>
      <c r="E57" s="25" t="str">
        <f>IF(C57="","",IFERROR(LOOKUP(2,1/(Precios!$B$5:$B$2004=C57),Precios!$C$5:$C$2004),0))</f>
        <v/>
      </c>
      <c r="F57" s="25" t="str">
        <f t="shared" si="7"/>
        <v/>
      </c>
      <c r="G57" s="26" t="str">
        <f>IF(C57="","",IFERROR(LOOKUP(2,1/(Precios!$B$5:$B$2004=C57),Precios!$C$5:$C$2004),0))</f>
        <v/>
      </c>
      <c r="H57" s="26" t="str">
        <f t="shared" si="4"/>
        <v/>
      </c>
      <c r="I57" s="26" t="str">
        <f t="shared" si="5"/>
        <v/>
      </c>
      <c r="J57" s="27">
        <f t="shared" si="6"/>
        <v>0</v>
      </c>
      <c r="K57" s="26">
        <v>0</v>
      </c>
      <c r="L57" s="23"/>
    </row>
    <row r="58" spans="1:12" x14ac:dyDescent="0.3">
      <c r="A58" s="22"/>
      <c r="B58" s="23"/>
      <c r="C58" s="23"/>
      <c r="D58" s="24"/>
      <c r="E58" s="25" t="str">
        <f>IF(C58="","",IFERROR(LOOKUP(2,1/(Precios!$B$5:$B$2004=C58),Precios!$C$5:$C$2004),0))</f>
        <v/>
      </c>
      <c r="F58" s="25" t="str">
        <f t="shared" si="7"/>
        <v/>
      </c>
      <c r="G58" s="26" t="str">
        <f>IF(C58="","",IFERROR(LOOKUP(2,1/(Precios!$B$5:$B$2004=C58),Precios!$C$5:$C$2004),0))</f>
        <v/>
      </c>
      <c r="H58" s="26" t="str">
        <f t="shared" si="4"/>
        <v/>
      </c>
      <c r="I58" s="26" t="str">
        <f t="shared" si="5"/>
        <v/>
      </c>
      <c r="J58" s="27">
        <f t="shared" si="6"/>
        <v>0</v>
      </c>
      <c r="K58" s="26">
        <v>0</v>
      </c>
      <c r="L58" s="23"/>
    </row>
    <row r="59" spans="1:12" x14ac:dyDescent="0.3">
      <c r="A59" s="22"/>
      <c r="B59" s="23"/>
      <c r="C59" s="23"/>
      <c r="D59" s="24"/>
      <c r="E59" s="25" t="str">
        <f>IF(C59="","",IFERROR(LOOKUP(2,1/(Precios!$B$5:$B$2004=C59),Precios!$C$5:$C$2004),0))</f>
        <v/>
      </c>
      <c r="F59" s="25" t="str">
        <f t="shared" si="7"/>
        <v/>
      </c>
      <c r="G59" s="26" t="str">
        <f>IF(C59="","",IFERROR(LOOKUP(2,1/(Precios!$B$5:$B$2004=C59),Precios!$C$5:$C$2004),0))</f>
        <v/>
      </c>
      <c r="H59" s="26" t="str">
        <f t="shared" si="4"/>
        <v/>
      </c>
      <c r="I59" s="26" t="str">
        <f t="shared" si="5"/>
        <v/>
      </c>
      <c r="J59" s="27">
        <f t="shared" si="6"/>
        <v>0</v>
      </c>
      <c r="K59" s="26">
        <v>0</v>
      </c>
      <c r="L59" s="23"/>
    </row>
    <row r="60" spans="1:12" x14ac:dyDescent="0.3">
      <c r="A60" s="22"/>
      <c r="B60" s="23"/>
      <c r="C60" s="23"/>
      <c r="D60" s="24"/>
      <c r="E60" s="25" t="str">
        <f>IF(C60="","",IFERROR(LOOKUP(2,1/(Precios!$B$5:$B$2004=C60),Precios!$C$5:$C$2004),0))</f>
        <v/>
      </c>
      <c r="F60" s="25" t="str">
        <f t="shared" si="7"/>
        <v/>
      </c>
      <c r="G60" s="26" t="str">
        <f>IF(C60="","",IFERROR(LOOKUP(2,1/(Precios!$B$5:$B$2004=C60),Precios!$C$5:$C$2004),0))</f>
        <v/>
      </c>
      <c r="H60" s="26" t="str">
        <f t="shared" si="4"/>
        <v/>
      </c>
      <c r="I60" s="26" t="str">
        <f t="shared" si="5"/>
        <v/>
      </c>
      <c r="J60" s="27">
        <f t="shared" si="6"/>
        <v>0</v>
      </c>
      <c r="K60" s="26">
        <v>0</v>
      </c>
      <c r="L60" s="23"/>
    </row>
    <row r="61" spans="1:12" x14ac:dyDescent="0.3">
      <c r="A61" s="22"/>
      <c r="B61" s="23"/>
      <c r="C61" s="23"/>
      <c r="D61" s="24"/>
      <c r="E61" s="25" t="str">
        <f>IF(C61="","",IFERROR(LOOKUP(2,1/(Precios!$B$5:$B$2004=C61),Precios!$C$5:$C$2004),0))</f>
        <v/>
      </c>
      <c r="F61" s="25" t="str">
        <f t="shared" si="7"/>
        <v/>
      </c>
      <c r="G61" s="26" t="str">
        <f>IF(C61="","",IFERROR(LOOKUP(2,1/(Precios!$B$5:$B$2004=C61),Precios!$C$5:$C$2004),0))</f>
        <v/>
      </c>
      <c r="H61" s="26" t="str">
        <f t="shared" si="4"/>
        <v/>
      </c>
      <c r="I61" s="26" t="str">
        <f t="shared" si="5"/>
        <v/>
      </c>
      <c r="J61" s="27">
        <f t="shared" si="6"/>
        <v>0</v>
      </c>
      <c r="K61" s="26">
        <v>0</v>
      </c>
      <c r="L61" s="23"/>
    </row>
    <row r="62" spans="1:12" x14ac:dyDescent="0.3">
      <c r="A62" s="22"/>
      <c r="B62" s="23"/>
      <c r="C62" s="23"/>
      <c r="D62" s="24"/>
      <c r="E62" s="25" t="str">
        <f>IF(C62="","",IFERROR(LOOKUP(2,1/(Precios!$B$5:$B$2004=C62),Precios!$C$5:$C$2004),0))</f>
        <v/>
      </c>
      <c r="F62" s="25" t="str">
        <f t="shared" si="7"/>
        <v/>
      </c>
      <c r="G62" s="26" t="str">
        <f>IF(C62="","",IFERROR(LOOKUP(2,1/(Precios!$B$5:$B$2004=C62),Precios!$C$5:$C$2004),0))</f>
        <v/>
      </c>
      <c r="H62" s="26" t="str">
        <f t="shared" si="4"/>
        <v/>
      </c>
      <c r="I62" s="26" t="str">
        <f t="shared" si="5"/>
        <v/>
      </c>
      <c r="J62" s="27">
        <f t="shared" si="6"/>
        <v>0</v>
      </c>
      <c r="K62" s="26">
        <v>0</v>
      </c>
      <c r="L62" s="23"/>
    </row>
    <row r="63" spans="1:12" x14ac:dyDescent="0.3">
      <c r="A63" s="22"/>
      <c r="B63" s="23"/>
      <c r="C63" s="23"/>
      <c r="D63" s="24"/>
      <c r="E63" s="25" t="str">
        <f>IF(C63="","",IFERROR(LOOKUP(2,1/(Precios!$B$5:$B$2004=C63),Precios!$C$5:$C$2004),0))</f>
        <v/>
      </c>
      <c r="F63" s="25" t="str">
        <f t="shared" si="7"/>
        <v/>
      </c>
      <c r="G63" s="26" t="str">
        <f>IF(C63="","",IFERROR(LOOKUP(2,1/(Precios!$B$5:$B$2004=C63),Precios!$C$5:$C$2004),0))</f>
        <v/>
      </c>
      <c r="H63" s="26" t="str">
        <f t="shared" si="4"/>
        <v/>
      </c>
      <c r="I63" s="26" t="str">
        <f t="shared" si="5"/>
        <v/>
      </c>
      <c r="J63" s="27">
        <f t="shared" si="6"/>
        <v>0</v>
      </c>
      <c r="K63" s="26">
        <v>0</v>
      </c>
      <c r="L63" s="23"/>
    </row>
    <row r="64" spans="1:12" x14ac:dyDescent="0.3">
      <c r="A64" s="22"/>
      <c r="B64" s="23"/>
      <c r="C64" s="23"/>
      <c r="D64" s="24"/>
      <c r="E64" s="25" t="str">
        <f>IF(C64="","",IFERROR(LOOKUP(2,1/(Precios!$B$5:$B$2004=C64),Precios!$C$5:$C$2004),0))</f>
        <v/>
      </c>
      <c r="F64" s="25" t="str">
        <f t="shared" si="7"/>
        <v/>
      </c>
      <c r="G64" s="26" t="str">
        <f>IF(C64="","",IFERROR(LOOKUP(2,1/(Precios!$B$5:$B$2004=C64),Precios!$C$5:$C$2004),0))</f>
        <v/>
      </c>
      <c r="H64" s="26" t="str">
        <f t="shared" si="4"/>
        <v/>
      </c>
      <c r="I64" s="26" t="str">
        <f t="shared" si="5"/>
        <v/>
      </c>
      <c r="J64" s="27">
        <f t="shared" si="6"/>
        <v>0</v>
      </c>
      <c r="K64" s="26">
        <v>0</v>
      </c>
      <c r="L64" s="23"/>
    </row>
    <row r="65" spans="1:12" x14ac:dyDescent="0.3">
      <c r="A65" s="22"/>
      <c r="B65" s="23"/>
      <c r="C65" s="23"/>
      <c r="D65" s="24"/>
      <c r="E65" s="25" t="str">
        <f>IF(C65="","",IFERROR(LOOKUP(2,1/(Precios!$B$5:$B$2004=C65),Precios!$C$5:$C$2004),0))</f>
        <v/>
      </c>
      <c r="F65" s="25" t="str">
        <f t="shared" si="7"/>
        <v/>
      </c>
      <c r="G65" s="26" t="str">
        <f>IF(C65="","",IFERROR(LOOKUP(2,1/(Precios!$B$5:$B$2004=C65),Precios!$C$5:$C$2004),0))</f>
        <v/>
      </c>
      <c r="H65" s="26" t="str">
        <f t="shared" si="4"/>
        <v/>
      </c>
      <c r="I65" s="26" t="str">
        <f t="shared" si="5"/>
        <v/>
      </c>
      <c r="J65" s="27">
        <f t="shared" si="6"/>
        <v>0</v>
      </c>
      <c r="K65" s="26">
        <v>0</v>
      </c>
      <c r="L65" s="23"/>
    </row>
    <row r="66" spans="1:12" x14ac:dyDescent="0.3">
      <c r="A66" s="22"/>
      <c r="B66" s="23"/>
      <c r="C66" s="23"/>
      <c r="D66" s="24"/>
      <c r="E66" s="25" t="str">
        <f>IF(C66="","",IFERROR(LOOKUP(2,1/(Precios!$B$5:$B$2004=C66),Precios!$C$5:$C$2004),0))</f>
        <v/>
      </c>
      <c r="F66" s="25" t="str">
        <f t="shared" si="7"/>
        <v/>
      </c>
      <c r="G66" s="26" t="str">
        <f>IF(C66="","",IFERROR(LOOKUP(2,1/(Precios!$B$5:$B$2004=C66),Precios!$C$5:$C$2004),0))</f>
        <v/>
      </c>
      <c r="H66" s="26" t="str">
        <f t="shared" si="4"/>
        <v/>
      </c>
      <c r="I66" s="26" t="str">
        <f t="shared" si="5"/>
        <v/>
      </c>
      <c r="J66" s="27">
        <f t="shared" si="6"/>
        <v>0</v>
      </c>
      <c r="K66" s="26">
        <v>0</v>
      </c>
      <c r="L66" s="23"/>
    </row>
    <row r="67" spans="1:12" x14ac:dyDescent="0.3">
      <c r="A67" s="22"/>
      <c r="B67" s="23"/>
      <c r="C67" s="23"/>
      <c r="D67" s="24"/>
      <c r="E67" s="25" t="str">
        <f>IF(C67="","",IFERROR(LOOKUP(2,1/(Precios!$B$5:$B$2004=C67),Precios!$C$5:$C$2004),0))</f>
        <v/>
      </c>
      <c r="F67" s="25" t="str">
        <f t="shared" si="7"/>
        <v/>
      </c>
      <c r="G67" s="26" t="str">
        <f>IF(C67="","",IFERROR(LOOKUP(2,1/(Precios!$B$5:$B$2004=C67),Precios!$C$5:$C$2004),0))</f>
        <v/>
      </c>
      <c r="H67" s="26" t="str">
        <f t="shared" si="4"/>
        <v/>
      </c>
      <c r="I67" s="26" t="str">
        <f t="shared" si="5"/>
        <v/>
      </c>
      <c r="J67" s="27">
        <f t="shared" si="6"/>
        <v>0</v>
      </c>
      <c r="K67" s="26">
        <v>0</v>
      </c>
      <c r="L67" s="23"/>
    </row>
    <row r="68" spans="1:12" x14ac:dyDescent="0.3">
      <c r="A68" s="22"/>
      <c r="B68" s="23"/>
      <c r="C68" s="23"/>
      <c r="D68" s="24"/>
      <c r="E68" s="25" t="str">
        <f>IF(C68="","",IFERROR(LOOKUP(2,1/(Precios!$B$5:$B$2004=C68),Precios!$C$5:$C$2004),0))</f>
        <v/>
      </c>
      <c r="F68" s="25" t="str">
        <f t="shared" si="7"/>
        <v/>
      </c>
      <c r="G68" s="26" t="str">
        <f>IF(C68="","",IFERROR(LOOKUP(2,1/(Precios!$B$5:$B$2004=C68),Precios!$C$5:$C$2004),0))</f>
        <v/>
      </c>
      <c r="H68" s="26" t="str">
        <f t="shared" si="4"/>
        <v/>
      </c>
      <c r="I68" s="26" t="str">
        <f t="shared" si="5"/>
        <v/>
      </c>
      <c r="J68" s="27">
        <f t="shared" si="6"/>
        <v>0</v>
      </c>
      <c r="K68" s="26">
        <v>0</v>
      </c>
      <c r="L68" s="23"/>
    </row>
    <row r="69" spans="1:12" x14ac:dyDescent="0.3">
      <c r="A69" s="22"/>
      <c r="B69" s="23"/>
      <c r="C69" s="23"/>
      <c r="D69" s="24"/>
      <c r="E69" s="25" t="str">
        <f>IF(C69="","",IFERROR(LOOKUP(2,1/(Precios!$B$5:$B$2004=C69),Precios!$C$5:$C$2004),0))</f>
        <v/>
      </c>
      <c r="F69" s="25" t="str">
        <f t="shared" si="7"/>
        <v/>
      </c>
      <c r="G69" s="26" t="str">
        <f>IF(C69="","",IFERROR(LOOKUP(2,1/(Precios!$B$5:$B$2004=C69),Precios!$C$5:$C$2004),0))</f>
        <v/>
      </c>
      <c r="H69" s="26" t="str">
        <f t="shared" ref="H69:H100" si="8">IF(D69="","",D69*G69)</f>
        <v/>
      </c>
      <c r="I69" s="26" t="str">
        <f t="shared" ref="I69:I100" si="9">IF(OR(H69="",F69=""),"",H69-F69)</f>
        <v/>
      </c>
      <c r="J69" s="27">
        <f t="shared" ref="J69:J100" si="10">IFERROR(I69/F69,0)</f>
        <v>0</v>
      </c>
      <c r="K69" s="26">
        <v>0</v>
      </c>
      <c r="L69" s="23"/>
    </row>
    <row r="70" spans="1:12" x14ac:dyDescent="0.3">
      <c r="A70" s="22"/>
      <c r="B70" s="23"/>
      <c r="C70" s="23"/>
      <c r="D70" s="24"/>
      <c r="E70" s="25" t="str">
        <f>IF(C70="","",IFERROR(LOOKUP(2,1/(Precios!$B$5:$B$2004=C70),Precios!$C$5:$C$2004),0))</f>
        <v/>
      </c>
      <c r="F70" s="25" t="str">
        <f t="shared" ref="F70:F101" si="11">IF(D70="","",D70*E70)</f>
        <v/>
      </c>
      <c r="G70" s="26" t="str">
        <f>IF(C70="","",IFERROR(LOOKUP(2,1/(Precios!$B$5:$B$2004=C70),Precios!$C$5:$C$2004),0))</f>
        <v/>
      </c>
      <c r="H70" s="26" t="str">
        <f t="shared" si="8"/>
        <v/>
      </c>
      <c r="I70" s="26" t="str">
        <f t="shared" si="9"/>
        <v/>
      </c>
      <c r="J70" s="27">
        <f t="shared" si="10"/>
        <v>0</v>
      </c>
      <c r="K70" s="26">
        <v>0</v>
      </c>
      <c r="L70" s="23"/>
    </row>
    <row r="71" spans="1:12" x14ac:dyDescent="0.3">
      <c r="A71" s="22"/>
      <c r="B71" s="23"/>
      <c r="C71" s="23"/>
      <c r="D71" s="24"/>
      <c r="E71" s="25" t="str">
        <f>IF(C71="","",IFERROR(LOOKUP(2,1/(Precios!$B$5:$B$2004=C71),Precios!$C$5:$C$2004),0))</f>
        <v/>
      </c>
      <c r="F71" s="25" t="str">
        <f t="shared" si="11"/>
        <v/>
      </c>
      <c r="G71" s="26" t="str">
        <f>IF(C71="","",IFERROR(LOOKUP(2,1/(Precios!$B$5:$B$2004=C71),Precios!$C$5:$C$2004),0))</f>
        <v/>
      </c>
      <c r="H71" s="26" t="str">
        <f t="shared" si="8"/>
        <v/>
      </c>
      <c r="I71" s="26" t="str">
        <f t="shared" si="9"/>
        <v/>
      </c>
      <c r="J71" s="27">
        <f t="shared" si="10"/>
        <v>0</v>
      </c>
      <c r="K71" s="26">
        <v>0</v>
      </c>
      <c r="L71" s="23"/>
    </row>
    <row r="72" spans="1:12" x14ac:dyDescent="0.3">
      <c r="A72" s="22"/>
      <c r="B72" s="23"/>
      <c r="C72" s="23"/>
      <c r="D72" s="24"/>
      <c r="E72" s="25" t="str">
        <f>IF(C72="","",IFERROR(LOOKUP(2,1/(Precios!$B$5:$B$2004=C72),Precios!$C$5:$C$2004),0))</f>
        <v/>
      </c>
      <c r="F72" s="25" t="str">
        <f t="shared" si="11"/>
        <v/>
      </c>
      <c r="G72" s="26" t="str">
        <f>IF(C72="","",IFERROR(LOOKUP(2,1/(Precios!$B$5:$B$2004=C72),Precios!$C$5:$C$2004),0))</f>
        <v/>
      </c>
      <c r="H72" s="26" t="str">
        <f t="shared" si="8"/>
        <v/>
      </c>
      <c r="I72" s="26" t="str">
        <f t="shared" si="9"/>
        <v/>
      </c>
      <c r="J72" s="27">
        <f t="shared" si="10"/>
        <v>0</v>
      </c>
      <c r="K72" s="26">
        <v>0</v>
      </c>
      <c r="L72" s="23"/>
    </row>
    <row r="73" spans="1:12" x14ac:dyDescent="0.3">
      <c r="A73" s="22"/>
      <c r="B73" s="23"/>
      <c r="C73" s="23"/>
      <c r="D73" s="24"/>
      <c r="E73" s="25" t="str">
        <f>IF(C73="","",IFERROR(LOOKUP(2,1/(Precios!$B$5:$B$2004=C73),Precios!$C$5:$C$2004),0))</f>
        <v/>
      </c>
      <c r="F73" s="25" t="str">
        <f t="shared" si="11"/>
        <v/>
      </c>
      <c r="G73" s="26" t="str">
        <f>IF(C73="","",IFERROR(LOOKUP(2,1/(Precios!$B$5:$B$2004=C73),Precios!$C$5:$C$2004),0))</f>
        <v/>
      </c>
      <c r="H73" s="26" t="str">
        <f t="shared" si="8"/>
        <v/>
      </c>
      <c r="I73" s="26" t="str">
        <f t="shared" si="9"/>
        <v/>
      </c>
      <c r="J73" s="27">
        <f t="shared" si="10"/>
        <v>0</v>
      </c>
      <c r="K73" s="26">
        <v>0</v>
      </c>
      <c r="L73" s="23"/>
    </row>
    <row r="74" spans="1:12" x14ac:dyDescent="0.3">
      <c r="A74" s="22"/>
      <c r="B74" s="23"/>
      <c r="C74" s="23"/>
      <c r="D74" s="24"/>
      <c r="E74" s="25" t="str">
        <f>IF(C74="","",IFERROR(LOOKUP(2,1/(Precios!$B$5:$B$2004=C74),Precios!$C$5:$C$2004),0))</f>
        <v/>
      </c>
      <c r="F74" s="25" t="str">
        <f t="shared" si="11"/>
        <v/>
      </c>
      <c r="G74" s="26" t="str">
        <f>IF(C74="","",IFERROR(LOOKUP(2,1/(Precios!$B$5:$B$2004=C74),Precios!$C$5:$C$2004),0))</f>
        <v/>
      </c>
      <c r="H74" s="26" t="str">
        <f t="shared" si="8"/>
        <v/>
      </c>
      <c r="I74" s="26" t="str">
        <f t="shared" si="9"/>
        <v/>
      </c>
      <c r="J74" s="27">
        <f t="shared" si="10"/>
        <v>0</v>
      </c>
      <c r="K74" s="26">
        <v>0</v>
      </c>
      <c r="L74" s="23"/>
    </row>
    <row r="75" spans="1:12" x14ac:dyDescent="0.3">
      <c r="A75" s="22"/>
      <c r="B75" s="23"/>
      <c r="C75" s="23"/>
      <c r="D75" s="24"/>
      <c r="E75" s="25" t="str">
        <f>IF(C75="","",IFERROR(LOOKUP(2,1/(Precios!$B$5:$B$2004=C75),Precios!$C$5:$C$2004),0))</f>
        <v/>
      </c>
      <c r="F75" s="25" t="str">
        <f t="shared" si="11"/>
        <v/>
      </c>
      <c r="G75" s="26" t="str">
        <f>IF(C75="","",IFERROR(LOOKUP(2,1/(Precios!$B$5:$B$2004=C75),Precios!$C$5:$C$2004),0))</f>
        <v/>
      </c>
      <c r="H75" s="26" t="str">
        <f t="shared" si="8"/>
        <v/>
      </c>
      <c r="I75" s="26" t="str">
        <f t="shared" si="9"/>
        <v/>
      </c>
      <c r="J75" s="27">
        <f t="shared" si="10"/>
        <v>0</v>
      </c>
      <c r="K75" s="26">
        <v>0</v>
      </c>
      <c r="L75" s="23"/>
    </row>
    <row r="76" spans="1:12" x14ac:dyDescent="0.3">
      <c r="A76" s="22"/>
      <c r="B76" s="23"/>
      <c r="C76" s="23"/>
      <c r="D76" s="24"/>
      <c r="E76" s="25" t="str">
        <f>IF(C76="","",IFERROR(LOOKUP(2,1/(Precios!$B$5:$B$2004=C76),Precios!$C$5:$C$2004),0))</f>
        <v/>
      </c>
      <c r="F76" s="25" t="str">
        <f t="shared" si="11"/>
        <v/>
      </c>
      <c r="G76" s="26" t="str">
        <f>IF(C76="","",IFERROR(LOOKUP(2,1/(Precios!$B$5:$B$2004=C76),Precios!$C$5:$C$2004),0))</f>
        <v/>
      </c>
      <c r="H76" s="26" t="str">
        <f t="shared" si="8"/>
        <v/>
      </c>
      <c r="I76" s="26" t="str">
        <f t="shared" si="9"/>
        <v/>
      </c>
      <c r="J76" s="27">
        <f t="shared" si="10"/>
        <v>0</v>
      </c>
      <c r="K76" s="26">
        <v>0</v>
      </c>
      <c r="L76" s="23"/>
    </row>
    <row r="77" spans="1:12" x14ac:dyDescent="0.3">
      <c r="A77" s="22"/>
      <c r="B77" s="23"/>
      <c r="C77" s="23"/>
      <c r="D77" s="24"/>
      <c r="E77" s="25" t="str">
        <f>IF(C77="","",IFERROR(LOOKUP(2,1/(Precios!$B$5:$B$2004=C77),Precios!$C$5:$C$2004),0))</f>
        <v/>
      </c>
      <c r="F77" s="25" t="str">
        <f t="shared" si="11"/>
        <v/>
      </c>
      <c r="G77" s="26" t="str">
        <f>IF(C77="","",IFERROR(LOOKUP(2,1/(Precios!$B$5:$B$2004=C77),Precios!$C$5:$C$2004),0))</f>
        <v/>
      </c>
      <c r="H77" s="26" t="str">
        <f t="shared" si="8"/>
        <v/>
      </c>
      <c r="I77" s="26" t="str">
        <f t="shared" si="9"/>
        <v/>
      </c>
      <c r="J77" s="27">
        <f t="shared" si="10"/>
        <v>0</v>
      </c>
      <c r="K77" s="26">
        <v>0</v>
      </c>
      <c r="L77" s="23"/>
    </row>
    <row r="78" spans="1:12" x14ac:dyDescent="0.3">
      <c r="A78" s="22"/>
      <c r="B78" s="23"/>
      <c r="C78" s="23"/>
      <c r="D78" s="24"/>
      <c r="E78" s="25" t="str">
        <f>IF(C78="","",IFERROR(LOOKUP(2,1/(Precios!$B$5:$B$2004=C78),Precios!$C$5:$C$2004),0))</f>
        <v/>
      </c>
      <c r="F78" s="25" t="str">
        <f t="shared" si="11"/>
        <v/>
      </c>
      <c r="G78" s="26" t="str">
        <f>IF(C78="","",IFERROR(LOOKUP(2,1/(Precios!$B$5:$B$2004=C78),Precios!$C$5:$C$2004),0))</f>
        <v/>
      </c>
      <c r="H78" s="26" t="str">
        <f t="shared" si="8"/>
        <v/>
      </c>
      <c r="I78" s="26" t="str">
        <f t="shared" si="9"/>
        <v/>
      </c>
      <c r="J78" s="27">
        <f t="shared" si="10"/>
        <v>0</v>
      </c>
      <c r="K78" s="26">
        <v>0</v>
      </c>
      <c r="L78" s="23"/>
    </row>
    <row r="79" spans="1:12" x14ac:dyDescent="0.3">
      <c r="A79" s="22"/>
      <c r="B79" s="23"/>
      <c r="C79" s="23"/>
      <c r="D79" s="24"/>
      <c r="E79" s="25" t="str">
        <f>IF(C79="","",IFERROR(LOOKUP(2,1/(Precios!$B$5:$B$2004=C79),Precios!$C$5:$C$2004),0))</f>
        <v/>
      </c>
      <c r="F79" s="25" t="str">
        <f t="shared" si="11"/>
        <v/>
      </c>
      <c r="G79" s="26" t="str">
        <f>IF(C79="","",IFERROR(LOOKUP(2,1/(Precios!$B$5:$B$2004=C79),Precios!$C$5:$C$2004),0))</f>
        <v/>
      </c>
      <c r="H79" s="26" t="str">
        <f t="shared" si="8"/>
        <v/>
      </c>
      <c r="I79" s="26" t="str">
        <f t="shared" si="9"/>
        <v/>
      </c>
      <c r="J79" s="27">
        <f t="shared" si="10"/>
        <v>0</v>
      </c>
      <c r="K79" s="26">
        <v>0</v>
      </c>
      <c r="L79" s="23"/>
    </row>
    <row r="80" spans="1:12" x14ac:dyDescent="0.3">
      <c r="A80" s="22"/>
      <c r="B80" s="23"/>
      <c r="C80" s="23"/>
      <c r="D80" s="24"/>
      <c r="E80" s="25" t="str">
        <f>IF(C80="","",IFERROR(LOOKUP(2,1/(Precios!$B$5:$B$2004=C80),Precios!$C$5:$C$2004),0))</f>
        <v/>
      </c>
      <c r="F80" s="25" t="str">
        <f t="shared" si="11"/>
        <v/>
      </c>
      <c r="G80" s="26" t="str">
        <f>IF(C80="","",IFERROR(LOOKUP(2,1/(Precios!$B$5:$B$2004=C80),Precios!$C$5:$C$2004),0))</f>
        <v/>
      </c>
      <c r="H80" s="26" t="str">
        <f t="shared" si="8"/>
        <v/>
      </c>
      <c r="I80" s="26" t="str">
        <f t="shared" si="9"/>
        <v/>
      </c>
      <c r="J80" s="27">
        <f t="shared" si="10"/>
        <v>0</v>
      </c>
      <c r="K80" s="26">
        <v>0</v>
      </c>
      <c r="L80" s="23"/>
    </row>
    <row r="81" spans="1:12" x14ac:dyDescent="0.3">
      <c r="A81" s="22"/>
      <c r="B81" s="23"/>
      <c r="C81" s="23"/>
      <c r="D81" s="24"/>
      <c r="E81" s="25" t="str">
        <f>IF(C81="","",IFERROR(LOOKUP(2,1/(Precios!$B$5:$B$2004=C81),Precios!$C$5:$C$2004),0))</f>
        <v/>
      </c>
      <c r="F81" s="25" t="str">
        <f t="shared" si="11"/>
        <v/>
      </c>
      <c r="G81" s="26" t="str">
        <f>IF(C81="","",IFERROR(LOOKUP(2,1/(Precios!$B$5:$B$2004=C81),Precios!$C$5:$C$2004),0))</f>
        <v/>
      </c>
      <c r="H81" s="26" t="str">
        <f t="shared" si="8"/>
        <v/>
      </c>
      <c r="I81" s="26" t="str">
        <f t="shared" si="9"/>
        <v/>
      </c>
      <c r="J81" s="27">
        <f t="shared" si="10"/>
        <v>0</v>
      </c>
      <c r="K81" s="26">
        <v>0</v>
      </c>
      <c r="L81" s="23"/>
    </row>
    <row r="82" spans="1:12" x14ac:dyDescent="0.3">
      <c r="A82" s="22"/>
      <c r="B82" s="23"/>
      <c r="C82" s="23"/>
      <c r="D82" s="24"/>
      <c r="E82" s="25" t="str">
        <f>IF(C82="","",IFERROR(LOOKUP(2,1/(Precios!$B$5:$B$2004=C82),Precios!$C$5:$C$2004),0))</f>
        <v/>
      </c>
      <c r="F82" s="25" t="str">
        <f t="shared" si="11"/>
        <v/>
      </c>
      <c r="G82" s="26" t="str">
        <f>IF(C82="","",IFERROR(LOOKUP(2,1/(Precios!$B$5:$B$2004=C82),Precios!$C$5:$C$2004),0))</f>
        <v/>
      </c>
      <c r="H82" s="26" t="str">
        <f t="shared" si="8"/>
        <v/>
      </c>
      <c r="I82" s="26" t="str">
        <f t="shared" si="9"/>
        <v/>
      </c>
      <c r="J82" s="27">
        <f t="shared" si="10"/>
        <v>0</v>
      </c>
      <c r="K82" s="26">
        <v>0</v>
      </c>
      <c r="L82" s="23"/>
    </row>
    <row r="83" spans="1:12" x14ac:dyDescent="0.3">
      <c r="A83" s="22"/>
      <c r="B83" s="23"/>
      <c r="C83" s="23"/>
      <c r="D83" s="24"/>
      <c r="E83" s="25" t="str">
        <f>IF(C83="","",IFERROR(LOOKUP(2,1/(Precios!$B$5:$B$2004=C83),Precios!$C$5:$C$2004),0))</f>
        <v/>
      </c>
      <c r="F83" s="25" t="str">
        <f t="shared" si="11"/>
        <v/>
      </c>
      <c r="G83" s="26" t="str">
        <f>IF(C83="","",IFERROR(LOOKUP(2,1/(Precios!$B$5:$B$2004=C83),Precios!$C$5:$C$2004),0))</f>
        <v/>
      </c>
      <c r="H83" s="26" t="str">
        <f t="shared" si="8"/>
        <v/>
      </c>
      <c r="I83" s="26" t="str">
        <f t="shared" si="9"/>
        <v/>
      </c>
      <c r="J83" s="27">
        <f t="shared" si="10"/>
        <v>0</v>
      </c>
      <c r="K83" s="26">
        <v>0</v>
      </c>
      <c r="L83" s="23"/>
    </row>
    <row r="84" spans="1:12" x14ac:dyDescent="0.3">
      <c r="A84" s="22"/>
      <c r="B84" s="23"/>
      <c r="C84" s="23"/>
      <c r="D84" s="24"/>
      <c r="E84" s="25" t="str">
        <f>IF(C84="","",IFERROR(LOOKUP(2,1/(Precios!$B$5:$B$2004=C84),Precios!$C$5:$C$2004),0))</f>
        <v/>
      </c>
      <c r="F84" s="25" t="str">
        <f t="shared" si="11"/>
        <v/>
      </c>
      <c r="G84" s="26" t="str">
        <f>IF(C84="","",IFERROR(LOOKUP(2,1/(Precios!$B$5:$B$2004=C84),Precios!$C$5:$C$2004),0))</f>
        <v/>
      </c>
      <c r="H84" s="26" t="str">
        <f t="shared" si="8"/>
        <v/>
      </c>
      <c r="I84" s="26" t="str">
        <f t="shared" si="9"/>
        <v/>
      </c>
      <c r="J84" s="27">
        <f t="shared" si="10"/>
        <v>0</v>
      </c>
      <c r="K84" s="26">
        <v>0</v>
      </c>
      <c r="L84" s="23"/>
    </row>
    <row r="85" spans="1:12" x14ac:dyDescent="0.3">
      <c r="A85" s="22"/>
      <c r="B85" s="23"/>
      <c r="C85" s="23"/>
      <c r="D85" s="24"/>
      <c r="E85" s="25" t="str">
        <f>IF(C85="","",IFERROR(LOOKUP(2,1/(Precios!$B$5:$B$2004=C85),Precios!$C$5:$C$2004),0))</f>
        <v/>
      </c>
      <c r="F85" s="25" t="str">
        <f t="shared" si="11"/>
        <v/>
      </c>
      <c r="G85" s="26" t="str">
        <f>IF(C85="","",IFERROR(LOOKUP(2,1/(Precios!$B$5:$B$2004=C85),Precios!$C$5:$C$2004),0))</f>
        <v/>
      </c>
      <c r="H85" s="26" t="str">
        <f t="shared" si="8"/>
        <v/>
      </c>
      <c r="I85" s="26" t="str">
        <f t="shared" si="9"/>
        <v/>
      </c>
      <c r="J85" s="27">
        <f t="shared" si="10"/>
        <v>0</v>
      </c>
      <c r="K85" s="26">
        <v>0</v>
      </c>
      <c r="L85" s="23"/>
    </row>
    <row r="86" spans="1:12" x14ac:dyDescent="0.3">
      <c r="A86" s="22"/>
      <c r="B86" s="23"/>
      <c r="C86" s="23"/>
      <c r="D86" s="24"/>
      <c r="E86" s="25" t="str">
        <f>IF(C86="","",IFERROR(LOOKUP(2,1/(Precios!$B$5:$B$2004=C86),Precios!$C$5:$C$2004),0))</f>
        <v/>
      </c>
      <c r="F86" s="25" t="str">
        <f t="shared" si="11"/>
        <v/>
      </c>
      <c r="G86" s="26" t="str">
        <f>IF(C86="","",IFERROR(LOOKUP(2,1/(Precios!$B$5:$B$2004=C86),Precios!$C$5:$C$2004),0))</f>
        <v/>
      </c>
      <c r="H86" s="26" t="str">
        <f t="shared" si="8"/>
        <v/>
      </c>
      <c r="I86" s="26" t="str">
        <f t="shared" si="9"/>
        <v/>
      </c>
      <c r="J86" s="27">
        <f t="shared" si="10"/>
        <v>0</v>
      </c>
      <c r="K86" s="26">
        <v>0</v>
      </c>
      <c r="L86" s="23"/>
    </row>
    <row r="87" spans="1:12" x14ac:dyDescent="0.3">
      <c r="A87" s="22"/>
      <c r="B87" s="23"/>
      <c r="C87" s="23"/>
      <c r="D87" s="24"/>
      <c r="E87" s="25" t="str">
        <f>IF(C87="","",IFERROR(LOOKUP(2,1/(Precios!$B$5:$B$2004=C87),Precios!$C$5:$C$2004),0))</f>
        <v/>
      </c>
      <c r="F87" s="25" t="str">
        <f t="shared" si="11"/>
        <v/>
      </c>
      <c r="G87" s="26" t="str">
        <f>IF(C87="","",IFERROR(LOOKUP(2,1/(Precios!$B$5:$B$2004=C87),Precios!$C$5:$C$2004),0))</f>
        <v/>
      </c>
      <c r="H87" s="26" t="str">
        <f t="shared" si="8"/>
        <v/>
      </c>
      <c r="I87" s="26" t="str">
        <f t="shared" si="9"/>
        <v/>
      </c>
      <c r="J87" s="27">
        <f t="shared" si="10"/>
        <v>0</v>
      </c>
      <c r="K87" s="26">
        <v>0</v>
      </c>
      <c r="L87" s="23"/>
    </row>
    <row r="88" spans="1:12" x14ac:dyDescent="0.3">
      <c r="A88" s="22"/>
      <c r="B88" s="23"/>
      <c r="C88" s="23"/>
      <c r="D88" s="24"/>
      <c r="E88" s="25" t="str">
        <f>IF(C88="","",IFERROR(LOOKUP(2,1/(Precios!$B$5:$B$2004=C88),Precios!$C$5:$C$2004),0))</f>
        <v/>
      </c>
      <c r="F88" s="25" t="str">
        <f t="shared" si="11"/>
        <v/>
      </c>
      <c r="G88" s="26" t="str">
        <f>IF(C88="","",IFERROR(LOOKUP(2,1/(Precios!$B$5:$B$2004=C88),Precios!$C$5:$C$2004),0))</f>
        <v/>
      </c>
      <c r="H88" s="26" t="str">
        <f t="shared" si="8"/>
        <v/>
      </c>
      <c r="I88" s="26" t="str">
        <f t="shared" si="9"/>
        <v/>
      </c>
      <c r="J88" s="27">
        <f t="shared" si="10"/>
        <v>0</v>
      </c>
      <c r="K88" s="26">
        <v>0</v>
      </c>
      <c r="L88" s="23"/>
    </row>
    <row r="89" spans="1:12" x14ac:dyDescent="0.3">
      <c r="A89" s="22"/>
      <c r="B89" s="23"/>
      <c r="C89" s="23"/>
      <c r="D89" s="24"/>
      <c r="E89" s="25" t="str">
        <f>IF(C89="","",IFERROR(LOOKUP(2,1/(Precios!$B$5:$B$2004=C89),Precios!$C$5:$C$2004),0))</f>
        <v/>
      </c>
      <c r="F89" s="25" t="str">
        <f t="shared" si="11"/>
        <v/>
      </c>
      <c r="G89" s="26" t="str">
        <f>IF(C89="","",IFERROR(LOOKUP(2,1/(Precios!$B$5:$B$2004=C89),Precios!$C$5:$C$2004),0))</f>
        <v/>
      </c>
      <c r="H89" s="26" t="str">
        <f t="shared" si="8"/>
        <v/>
      </c>
      <c r="I89" s="26" t="str">
        <f t="shared" si="9"/>
        <v/>
      </c>
      <c r="J89" s="27">
        <f t="shared" si="10"/>
        <v>0</v>
      </c>
      <c r="K89" s="26">
        <v>0</v>
      </c>
      <c r="L89" s="23"/>
    </row>
    <row r="90" spans="1:12" x14ac:dyDescent="0.3">
      <c r="A90" s="22"/>
      <c r="B90" s="23"/>
      <c r="C90" s="23"/>
      <c r="D90" s="24"/>
      <c r="E90" s="25" t="str">
        <f>IF(C90="","",IFERROR(LOOKUP(2,1/(Precios!$B$5:$B$2004=C90),Precios!$C$5:$C$2004),0))</f>
        <v/>
      </c>
      <c r="F90" s="25" t="str">
        <f t="shared" si="11"/>
        <v/>
      </c>
      <c r="G90" s="26" t="str">
        <f>IF(C90="","",IFERROR(LOOKUP(2,1/(Precios!$B$5:$B$2004=C90),Precios!$C$5:$C$2004),0))</f>
        <v/>
      </c>
      <c r="H90" s="26" t="str">
        <f t="shared" si="8"/>
        <v/>
      </c>
      <c r="I90" s="26" t="str">
        <f t="shared" si="9"/>
        <v/>
      </c>
      <c r="J90" s="27">
        <f t="shared" si="10"/>
        <v>0</v>
      </c>
      <c r="K90" s="26">
        <v>0</v>
      </c>
      <c r="L90" s="23"/>
    </row>
    <row r="91" spans="1:12" x14ac:dyDescent="0.3">
      <c r="A91" s="22"/>
      <c r="B91" s="23"/>
      <c r="C91" s="23"/>
      <c r="D91" s="24"/>
      <c r="E91" s="25" t="str">
        <f>IF(C91="","",IFERROR(LOOKUP(2,1/(Precios!$B$5:$B$2004=C91),Precios!$C$5:$C$2004),0))</f>
        <v/>
      </c>
      <c r="F91" s="25" t="str">
        <f t="shared" si="11"/>
        <v/>
      </c>
      <c r="G91" s="26" t="str">
        <f>IF(C91="","",IFERROR(LOOKUP(2,1/(Precios!$B$5:$B$2004=C91),Precios!$C$5:$C$2004),0))</f>
        <v/>
      </c>
      <c r="H91" s="26" t="str">
        <f t="shared" si="8"/>
        <v/>
      </c>
      <c r="I91" s="26" t="str">
        <f t="shared" si="9"/>
        <v/>
      </c>
      <c r="J91" s="27">
        <f t="shared" si="10"/>
        <v>0</v>
      </c>
      <c r="K91" s="26">
        <v>0</v>
      </c>
      <c r="L91" s="23"/>
    </row>
    <row r="92" spans="1:12" x14ac:dyDescent="0.3">
      <c r="A92" s="22"/>
      <c r="B92" s="23"/>
      <c r="C92" s="23"/>
      <c r="D92" s="24"/>
      <c r="E92" s="25" t="str">
        <f>IF(C92="","",IFERROR(LOOKUP(2,1/(Precios!$B$5:$B$2004=C92),Precios!$C$5:$C$2004),0))</f>
        <v/>
      </c>
      <c r="F92" s="25" t="str">
        <f t="shared" si="11"/>
        <v/>
      </c>
      <c r="G92" s="26" t="str">
        <f>IF(C92="","",IFERROR(LOOKUP(2,1/(Precios!$B$5:$B$2004=C92),Precios!$C$5:$C$2004),0))</f>
        <v/>
      </c>
      <c r="H92" s="26" t="str">
        <f t="shared" si="8"/>
        <v/>
      </c>
      <c r="I92" s="26" t="str">
        <f t="shared" si="9"/>
        <v/>
      </c>
      <c r="J92" s="27">
        <f t="shared" si="10"/>
        <v>0</v>
      </c>
      <c r="K92" s="26">
        <v>0</v>
      </c>
      <c r="L92" s="23"/>
    </row>
    <row r="93" spans="1:12" x14ac:dyDescent="0.3">
      <c r="A93" s="22"/>
      <c r="B93" s="23"/>
      <c r="C93" s="23"/>
      <c r="D93" s="24"/>
      <c r="E93" s="25" t="str">
        <f>IF(C93="","",IFERROR(LOOKUP(2,1/(Precios!$B$5:$B$2004=C93),Precios!$C$5:$C$2004),0))</f>
        <v/>
      </c>
      <c r="F93" s="25" t="str">
        <f t="shared" si="11"/>
        <v/>
      </c>
      <c r="G93" s="26" t="str">
        <f>IF(C93="","",IFERROR(LOOKUP(2,1/(Precios!$B$5:$B$2004=C93),Precios!$C$5:$C$2004),0))</f>
        <v/>
      </c>
      <c r="H93" s="26" t="str">
        <f t="shared" si="8"/>
        <v/>
      </c>
      <c r="I93" s="26" t="str">
        <f t="shared" si="9"/>
        <v/>
      </c>
      <c r="J93" s="27">
        <f t="shared" si="10"/>
        <v>0</v>
      </c>
      <c r="K93" s="26">
        <v>0</v>
      </c>
      <c r="L93" s="23"/>
    </row>
    <row r="94" spans="1:12" x14ac:dyDescent="0.3">
      <c r="A94" s="22"/>
      <c r="B94" s="23"/>
      <c r="C94" s="23"/>
      <c r="D94" s="24"/>
      <c r="E94" s="25" t="str">
        <f>IF(C94="","",IFERROR(LOOKUP(2,1/(Precios!$B$5:$B$2004=C94),Precios!$C$5:$C$2004),0))</f>
        <v/>
      </c>
      <c r="F94" s="25" t="str">
        <f t="shared" si="11"/>
        <v/>
      </c>
      <c r="G94" s="26" t="str">
        <f>IF(C94="","",IFERROR(LOOKUP(2,1/(Precios!$B$5:$B$2004=C94),Precios!$C$5:$C$2004),0))</f>
        <v/>
      </c>
      <c r="H94" s="26" t="str">
        <f t="shared" si="8"/>
        <v/>
      </c>
      <c r="I94" s="26" t="str">
        <f t="shared" si="9"/>
        <v/>
      </c>
      <c r="J94" s="27">
        <f t="shared" si="10"/>
        <v>0</v>
      </c>
      <c r="K94" s="26">
        <v>0</v>
      </c>
      <c r="L94" s="23"/>
    </row>
    <row r="95" spans="1:12" x14ac:dyDescent="0.3">
      <c r="A95" s="22"/>
      <c r="B95" s="23"/>
      <c r="C95" s="23"/>
      <c r="D95" s="24"/>
      <c r="E95" s="25" t="str">
        <f>IF(C95="","",IFERROR(LOOKUP(2,1/(Precios!$B$5:$B$2004=C95),Precios!$C$5:$C$2004),0))</f>
        <v/>
      </c>
      <c r="F95" s="25" t="str">
        <f t="shared" si="11"/>
        <v/>
      </c>
      <c r="G95" s="26" t="str">
        <f>IF(C95="","",IFERROR(LOOKUP(2,1/(Precios!$B$5:$B$2004=C95),Precios!$C$5:$C$2004),0))</f>
        <v/>
      </c>
      <c r="H95" s="26" t="str">
        <f t="shared" si="8"/>
        <v/>
      </c>
      <c r="I95" s="26" t="str">
        <f t="shared" si="9"/>
        <v/>
      </c>
      <c r="J95" s="27">
        <f t="shared" si="10"/>
        <v>0</v>
      </c>
      <c r="K95" s="26">
        <v>0</v>
      </c>
      <c r="L95" s="23"/>
    </row>
    <row r="96" spans="1:12" x14ac:dyDescent="0.3">
      <c r="A96" s="22"/>
      <c r="B96" s="23"/>
      <c r="C96" s="23"/>
      <c r="D96" s="24"/>
      <c r="E96" s="25" t="str">
        <f>IF(C96="","",IFERROR(LOOKUP(2,1/(Precios!$B$5:$B$2004=C96),Precios!$C$5:$C$2004),0))</f>
        <v/>
      </c>
      <c r="F96" s="25" t="str">
        <f t="shared" si="11"/>
        <v/>
      </c>
      <c r="G96" s="26" t="str">
        <f>IF(C96="","",IFERROR(LOOKUP(2,1/(Precios!$B$5:$B$2004=C96),Precios!$C$5:$C$2004),0))</f>
        <v/>
      </c>
      <c r="H96" s="26" t="str">
        <f t="shared" si="8"/>
        <v/>
      </c>
      <c r="I96" s="26" t="str">
        <f t="shared" si="9"/>
        <v/>
      </c>
      <c r="J96" s="27">
        <f t="shared" si="10"/>
        <v>0</v>
      </c>
      <c r="K96" s="26">
        <v>0</v>
      </c>
      <c r="L96" s="23"/>
    </row>
    <row r="97" spans="1:12" x14ac:dyDescent="0.3">
      <c r="A97" s="22"/>
      <c r="B97" s="23"/>
      <c r="C97" s="23"/>
      <c r="D97" s="24"/>
      <c r="E97" s="25" t="str">
        <f>IF(C97="","",IFERROR(LOOKUP(2,1/(Precios!$B$5:$B$2004=C97),Precios!$C$5:$C$2004),0))</f>
        <v/>
      </c>
      <c r="F97" s="25" t="str">
        <f t="shared" si="11"/>
        <v/>
      </c>
      <c r="G97" s="26" t="str">
        <f>IF(C97="","",IFERROR(LOOKUP(2,1/(Precios!$B$5:$B$2004=C97),Precios!$C$5:$C$2004),0))</f>
        <v/>
      </c>
      <c r="H97" s="26" t="str">
        <f t="shared" si="8"/>
        <v/>
      </c>
      <c r="I97" s="26" t="str">
        <f t="shared" si="9"/>
        <v/>
      </c>
      <c r="J97" s="27">
        <f t="shared" si="10"/>
        <v>0</v>
      </c>
      <c r="K97" s="26">
        <v>0</v>
      </c>
      <c r="L97" s="23"/>
    </row>
    <row r="98" spans="1:12" x14ac:dyDescent="0.3">
      <c r="A98" s="22"/>
      <c r="B98" s="23"/>
      <c r="C98" s="23"/>
      <c r="D98" s="24"/>
      <c r="E98" s="25" t="str">
        <f>IF(C98="","",IFERROR(LOOKUP(2,1/(Precios!$B$5:$B$2004=C98),Precios!$C$5:$C$2004),0))</f>
        <v/>
      </c>
      <c r="F98" s="25" t="str">
        <f t="shared" si="11"/>
        <v/>
      </c>
      <c r="G98" s="26" t="str">
        <f>IF(C98="","",IFERROR(LOOKUP(2,1/(Precios!$B$5:$B$2004=C98),Precios!$C$5:$C$2004),0))</f>
        <v/>
      </c>
      <c r="H98" s="26" t="str">
        <f t="shared" si="8"/>
        <v/>
      </c>
      <c r="I98" s="26" t="str">
        <f t="shared" si="9"/>
        <v/>
      </c>
      <c r="J98" s="27">
        <f t="shared" si="10"/>
        <v>0</v>
      </c>
      <c r="K98" s="26">
        <v>0</v>
      </c>
      <c r="L98" s="23"/>
    </row>
    <row r="99" spans="1:12" x14ac:dyDescent="0.3">
      <c r="A99" s="22"/>
      <c r="B99" s="23"/>
      <c r="C99" s="23"/>
      <c r="D99" s="24"/>
      <c r="E99" s="25" t="str">
        <f>IF(C99="","",IFERROR(LOOKUP(2,1/(Precios!$B$5:$B$2004=C99),Precios!$C$5:$C$2004),0))</f>
        <v/>
      </c>
      <c r="F99" s="25" t="str">
        <f t="shared" si="11"/>
        <v/>
      </c>
      <c r="G99" s="26" t="str">
        <f>IF(C99="","",IFERROR(LOOKUP(2,1/(Precios!$B$5:$B$2004=C99),Precios!$C$5:$C$2004),0))</f>
        <v/>
      </c>
      <c r="H99" s="26" t="str">
        <f t="shared" si="8"/>
        <v/>
      </c>
      <c r="I99" s="26" t="str">
        <f t="shared" si="9"/>
        <v/>
      </c>
      <c r="J99" s="27">
        <f t="shared" si="10"/>
        <v>0</v>
      </c>
      <c r="K99" s="26">
        <v>0</v>
      </c>
      <c r="L99" s="23"/>
    </row>
    <row r="100" spans="1:12" x14ac:dyDescent="0.3">
      <c r="A100" s="22"/>
      <c r="B100" s="23"/>
      <c r="C100" s="23"/>
      <c r="D100" s="24"/>
      <c r="E100" s="25" t="str">
        <f>IF(C100="","",IFERROR(LOOKUP(2,1/(Precios!$B$5:$B$2004=C100),Precios!$C$5:$C$2004),0))</f>
        <v/>
      </c>
      <c r="F100" s="25" t="str">
        <f t="shared" si="11"/>
        <v/>
      </c>
      <c r="G100" s="26" t="str">
        <f>IF(C100="","",IFERROR(LOOKUP(2,1/(Precios!$B$5:$B$2004=C100),Precios!$C$5:$C$2004),0))</f>
        <v/>
      </c>
      <c r="H100" s="26" t="str">
        <f t="shared" si="8"/>
        <v/>
      </c>
      <c r="I100" s="26" t="str">
        <f t="shared" si="9"/>
        <v/>
      </c>
      <c r="J100" s="27">
        <f t="shared" si="10"/>
        <v>0</v>
      </c>
      <c r="K100" s="26">
        <v>0</v>
      </c>
      <c r="L100" s="23"/>
    </row>
    <row r="101" spans="1:12" x14ac:dyDescent="0.3">
      <c r="A101" s="22"/>
      <c r="B101" s="23"/>
      <c r="C101" s="23"/>
      <c r="D101" s="24"/>
      <c r="E101" s="25" t="str">
        <f>IF(C101="","",IFERROR(LOOKUP(2,1/(Precios!$B$5:$B$2004=C101),Precios!$C$5:$C$2004),0))</f>
        <v/>
      </c>
      <c r="F101" s="25" t="str">
        <f t="shared" si="11"/>
        <v/>
      </c>
      <c r="G101" s="26" t="str">
        <f>IF(C101="","",IFERROR(LOOKUP(2,1/(Precios!$B$5:$B$2004=C101),Precios!$C$5:$C$2004),0))</f>
        <v/>
      </c>
      <c r="H101" s="26" t="str">
        <f t="shared" ref="H101:H132" si="12">IF(D101="","",D101*G101)</f>
        <v/>
      </c>
      <c r="I101" s="26" t="str">
        <f t="shared" ref="I101:I132" si="13">IF(OR(H101="",F101=""),"",H101-F101)</f>
        <v/>
      </c>
      <c r="J101" s="27">
        <f t="shared" ref="J101:J132" si="14">IFERROR(I101/F101,0)</f>
        <v>0</v>
      </c>
      <c r="K101" s="26">
        <v>0</v>
      </c>
      <c r="L101" s="23"/>
    </row>
    <row r="102" spans="1:12" x14ac:dyDescent="0.3">
      <c r="A102" s="22"/>
      <c r="B102" s="23"/>
      <c r="C102" s="23"/>
      <c r="D102" s="24"/>
      <c r="E102" s="25" t="str">
        <f>IF(C102="","",IFERROR(LOOKUP(2,1/(Precios!$B$5:$B$2004=C102),Precios!$C$5:$C$2004),0))</f>
        <v/>
      </c>
      <c r="F102" s="25" t="str">
        <f t="shared" ref="F102:F133" si="15">IF(D102="","",D102*E102)</f>
        <v/>
      </c>
      <c r="G102" s="26" t="str">
        <f>IF(C102="","",IFERROR(LOOKUP(2,1/(Precios!$B$5:$B$2004=C102),Precios!$C$5:$C$2004),0))</f>
        <v/>
      </c>
      <c r="H102" s="26" t="str">
        <f t="shared" si="12"/>
        <v/>
      </c>
      <c r="I102" s="26" t="str">
        <f t="shared" si="13"/>
        <v/>
      </c>
      <c r="J102" s="27">
        <f t="shared" si="14"/>
        <v>0</v>
      </c>
      <c r="K102" s="26">
        <v>0</v>
      </c>
      <c r="L102" s="23"/>
    </row>
    <row r="103" spans="1:12" x14ac:dyDescent="0.3">
      <c r="A103" s="22"/>
      <c r="B103" s="23"/>
      <c r="C103" s="23"/>
      <c r="D103" s="24"/>
      <c r="E103" s="25" t="str">
        <f>IF(C103="","",IFERROR(LOOKUP(2,1/(Precios!$B$5:$B$2004=C103),Precios!$C$5:$C$2004),0))</f>
        <v/>
      </c>
      <c r="F103" s="25" t="str">
        <f t="shared" si="15"/>
        <v/>
      </c>
      <c r="G103" s="26" t="str">
        <f>IF(C103="","",IFERROR(LOOKUP(2,1/(Precios!$B$5:$B$2004=C103),Precios!$C$5:$C$2004),0))</f>
        <v/>
      </c>
      <c r="H103" s="26" t="str">
        <f t="shared" si="12"/>
        <v/>
      </c>
      <c r="I103" s="26" t="str">
        <f t="shared" si="13"/>
        <v/>
      </c>
      <c r="J103" s="27">
        <f t="shared" si="14"/>
        <v>0</v>
      </c>
      <c r="K103" s="26">
        <v>0</v>
      </c>
      <c r="L103" s="23"/>
    </row>
    <row r="104" spans="1:12" x14ac:dyDescent="0.3">
      <c r="A104" s="22"/>
      <c r="B104" s="23"/>
      <c r="C104" s="23"/>
      <c r="D104" s="24"/>
      <c r="E104" s="25" t="str">
        <f>IF(C104="","",IFERROR(LOOKUP(2,1/(Precios!$B$5:$B$2004=C104),Precios!$C$5:$C$2004),0))</f>
        <v/>
      </c>
      <c r="F104" s="25" t="str">
        <f t="shared" si="15"/>
        <v/>
      </c>
      <c r="G104" s="26" t="str">
        <f>IF(C104="","",IFERROR(LOOKUP(2,1/(Precios!$B$5:$B$2004=C104),Precios!$C$5:$C$2004),0))</f>
        <v/>
      </c>
      <c r="H104" s="26" t="str">
        <f t="shared" si="12"/>
        <v/>
      </c>
      <c r="I104" s="26" t="str">
        <f t="shared" si="13"/>
        <v/>
      </c>
      <c r="J104" s="27">
        <f t="shared" si="14"/>
        <v>0</v>
      </c>
      <c r="K104" s="26">
        <v>0</v>
      </c>
      <c r="L104" s="23"/>
    </row>
    <row r="105" spans="1:12" x14ac:dyDescent="0.3">
      <c r="A105" s="22"/>
      <c r="B105" s="23"/>
      <c r="C105" s="23"/>
      <c r="D105" s="24"/>
      <c r="E105" s="25" t="str">
        <f>IF(C105="","",IFERROR(LOOKUP(2,1/(Precios!$B$5:$B$2004=C105),Precios!$C$5:$C$2004),0))</f>
        <v/>
      </c>
      <c r="F105" s="25" t="str">
        <f t="shared" si="15"/>
        <v/>
      </c>
      <c r="G105" s="26" t="str">
        <f>IF(C105="","",IFERROR(LOOKUP(2,1/(Precios!$B$5:$B$2004=C105),Precios!$C$5:$C$2004),0))</f>
        <v/>
      </c>
      <c r="H105" s="26" t="str">
        <f t="shared" si="12"/>
        <v/>
      </c>
      <c r="I105" s="26" t="str">
        <f t="shared" si="13"/>
        <v/>
      </c>
      <c r="J105" s="27">
        <f t="shared" si="14"/>
        <v>0</v>
      </c>
      <c r="K105" s="26">
        <v>0</v>
      </c>
      <c r="L105" s="23"/>
    </row>
    <row r="106" spans="1:12" x14ac:dyDescent="0.3">
      <c r="A106" s="22"/>
      <c r="B106" s="23"/>
      <c r="C106" s="23"/>
      <c r="D106" s="24"/>
      <c r="E106" s="25" t="str">
        <f>IF(C106="","",IFERROR(LOOKUP(2,1/(Precios!$B$5:$B$2004=C106),Precios!$C$5:$C$2004),0))</f>
        <v/>
      </c>
      <c r="F106" s="25" t="str">
        <f t="shared" si="15"/>
        <v/>
      </c>
      <c r="G106" s="26" t="str">
        <f>IF(C106="","",IFERROR(LOOKUP(2,1/(Precios!$B$5:$B$2004=C106),Precios!$C$5:$C$2004),0))</f>
        <v/>
      </c>
      <c r="H106" s="26" t="str">
        <f t="shared" si="12"/>
        <v/>
      </c>
      <c r="I106" s="26" t="str">
        <f t="shared" si="13"/>
        <v/>
      </c>
      <c r="J106" s="27">
        <f t="shared" si="14"/>
        <v>0</v>
      </c>
      <c r="K106" s="26">
        <v>0</v>
      </c>
      <c r="L106" s="23"/>
    </row>
    <row r="107" spans="1:12" x14ac:dyDescent="0.3">
      <c r="A107" s="22"/>
      <c r="B107" s="23"/>
      <c r="C107" s="23"/>
      <c r="D107" s="24"/>
      <c r="E107" s="25" t="str">
        <f>IF(C107="","",IFERROR(LOOKUP(2,1/(Precios!$B$5:$B$2004=C107),Precios!$C$5:$C$2004),0))</f>
        <v/>
      </c>
      <c r="F107" s="25" t="str">
        <f t="shared" si="15"/>
        <v/>
      </c>
      <c r="G107" s="26" t="str">
        <f>IF(C107="","",IFERROR(LOOKUP(2,1/(Precios!$B$5:$B$2004=C107),Precios!$C$5:$C$2004),0))</f>
        <v/>
      </c>
      <c r="H107" s="26" t="str">
        <f t="shared" si="12"/>
        <v/>
      </c>
      <c r="I107" s="26" t="str">
        <f t="shared" si="13"/>
        <v/>
      </c>
      <c r="J107" s="27">
        <f t="shared" si="14"/>
        <v>0</v>
      </c>
      <c r="K107" s="26">
        <v>0</v>
      </c>
      <c r="L107" s="23"/>
    </row>
    <row r="108" spans="1:12" x14ac:dyDescent="0.3">
      <c r="A108" s="22"/>
      <c r="B108" s="23"/>
      <c r="C108" s="23"/>
      <c r="D108" s="24"/>
      <c r="E108" s="25" t="str">
        <f>IF(C108="","",IFERROR(LOOKUP(2,1/(Precios!$B$5:$B$2004=C108),Precios!$C$5:$C$2004),0))</f>
        <v/>
      </c>
      <c r="F108" s="25" t="str">
        <f t="shared" si="15"/>
        <v/>
      </c>
      <c r="G108" s="26" t="str">
        <f>IF(C108="","",IFERROR(LOOKUP(2,1/(Precios!$B$5:$B$2004=C108),Precios!$C$5:$C$2004),0))</f>
        <v/>
      </c>
      <c r="H108" s="26" t="str">
        <f t="shared" si="12"/>
        <v/>
      </c>
      <c r="I108" s="26" t="str">
        <f t="shared" si="13"/>
        <v/>
      </c>
      <c r="J108" s="27">
        <f t="shared" si="14"/>
        <v>0</v>
      </c>
      <c r="K108" s="26">
        <v>0</v>
      </c>
      <c r="L108" s="23"/>
    </row>
    <row r="109" spans="1:12" x14ac:dyDescent="0.3">
      <c r="A109" s="22"/>
      <c r="B109" s="23"/>
      <c r="C109" s="23"/>
      <c r="D109" s="24"/>
      <c r="E109" s="25" t="str">
        <f>IF(C109="","",IFERROR(LOOKUP(2,1/(Precios!$B$5:$B$2004=C109),Precios!$C$5:$C$2004),0))</f>
        <v/>
      </c>
      <c r="F109" s="25" t="str">
        <f t="shared" si="15"/>
        <v/>
      </c>
      <c r="G109" s="26" t="str">
        <f>IF(C109="","",IFERROR(LOOKUP(2,1/(Precios!$B$5:$B$2004=C109),Precios!$C$5:$C$2004),0))</f>
        <v/>
      </c>
      <c r="H109" s="26" t="str">
        <f t="shared" si="12"/>
        <v/>
      </c>
      <c r="I109" s="26" t="str">
        <f t="shared" si="13"/>
        <v/>
      </c>
      <c r="J109" s="27">
        <f t="shared" si="14"/>
        <v>0</v>
      </c>
      <c r="K109" s="26">
        <v>0</v>
      </c>
      <c r="L109" s="23"/>
    </row>
    <row r="110" spans="1:12" x14ac:dyDescent="0.3">
      <c r="A110" s="22"/>
      <c r="B110" s="23"/>
      <c r="C110" s="23"/>
      <c r="D110" s="24"/>
      <c r="E110" s="25" t="str">
        <f>IF(C110="","",IFERROR(LOOKUP(2,1/(Precios!$B$5:$B$2004=C110),Precios!$C$5:$C$2004),0))</f>
        <v/>
      </c>
      <c r="F110" s="25" t="str">
        <f t="shared" si="15"/>
        <v/>
      </c>
      <c r="G110" s="26" t="str">
        <f>IF(C110="","",IFERROR(LOOKUP(2,1/(Precios!$B$5:$B$2004=C110),Precios!$C$5:$C$2004),0))</f>
        <v/>
      </c>
      <c r="H110" s="26" t="str">
        <f t="shared" si="12"/>
        <v/>
      </c>
      <c r="I110" s="26" t="str">
        <f t="shared" si="13"/>
        <v/>
      </c>
      <c r="J110" s="27">
        <f t="shared" si="14"/>
        <v>0</v>
      </c>
      <c r="K110" s="26">
        <v>0</v>
      </c>
      <c r="L110" s="23"/>
    </row>
    <row r="111" spans="1:12" x14ac:dyDescent="0.3">
      <c r="A111" s="22"/>
      <c r="B111" s="23"/>
      <c r="C111" s="23"/>
      <c r="D111" s="24"/>
      <c r="E111" s="25" t="str">
        <f>IF(C111="","",IFERROR(LOOKUP(2,1/(Precios!$B$5:$B$2004=C111),Precios!$C$5:$C$2004),0))</f>
        <v/>
      </c>
      <c r="F111" s="25" t="str">
        <f t="shared" si="15"/>
        <v/>
      </c>
      <c r="G111" s="26" t="str">
        <f>IF(C111="","",IFERROR(LOOKUP(2,1/(Precios!$B$5:$B$2004=C111),Precios!$C$5:$C$2004),0))</f>
        <v/>
      </c>
      <c r="H111" s="26" t="str">
        <f t="shared" si="12"/>
        <v/>
      </c>
      <c r="I111" s="26" t="str">
        <f t="shared" si="13"/>
        <v/>
      </c>
      <c r="J111" s="27">
        <f t="shared" si="14"/>
        <v>0</v>
      </c>
      <c r="K111" s="26">
        <v>0</v>
      </c>
      <c r="L111" s="23"/>
    </row>
    <row r="112" spans="1:12" x14ac:dyDescent="0.3">
      <c r="A112" s="22"/>
      <c r="B112" s="23"/>
      <c r="C112" s="23"/>
      <c r="D112" s="24"/>
      <c r="E112" s="25" t="str">
        <f>IF(C112="","",IFERROR(LOOKUP(2,1/(Precios!$B$5:$B$2004=C112),Precios!$C$5:$C$2004),0))</f>
        <v/>
      </c>
      <c r="F112" s="25" t="str">
        <f t="shared" si="15"/>
        <v/>
      </c>
      <c r="G112" s="26" t="str">
        <f>IF(C112="","",IFERROR(LOOKUP(2,1/(Precios!$B$5:$B$2004=C112),Precios!$C$5:$C$2004),0))</f>
        <v/>
      </c>
      <c r="H112" s="26" t="str">
        <f t="shared" si="12"/>
        <v/>
      </c>
      <c r="I112" s="26" t="str">
        <f t="shared" si="13"/>
        <v/>
      </c>
      <c r="J112" s="27">
        <f t="shared" si="14"/>
        <v>0</v>
      </c>
      <c r="K112" s="26">
        <v>0</v>
      </c>
      <c r="L112" s="23"/>
    </row>
    <row r="113" spans="1:12" x14ac:dyDescent="0.3">
      <c r="A113" s="22"/>
      <c r="B113" s="23"/>
      <c r="C113" s="23"/>
      <c r="D113" s="24"/>
      <c r="E113" s="25" t="str">
        <f>IF(C113="","",IFERROR(LOOKUP(2,1/(Precios!$B$5:$B$2004=C113),Precios!$C$5:$C$2004),0))</f>
        <v/>
      </c>
      <c r="F113" s="25" t="str">
        <f t="shared" si="15"/>
        <v/>
      </c>
      <c r="G113" s="26" t="str">
        <f>IF(C113="","",IFERROR(LOOKUP(2,1/(Precios!$B$5:$B$2004=C113),Precios!$C$5:$C$2004),0))</f>
        <v/>
      </c>
      <c r="H113" s="26" t="str">
        <f t="shared" si="12"/>
        <v/>
      </c>
      <c r="I113" s="26" t="str">
        <f t="shared" si="13"/>
        <v/>
      </c>
      <c r="J113" s="27">
        <f t="shared" si="14"/>
        <v>0</v>
      </c>
      <c r="K113" s="26">
        <v>0</v>
      </c>
      <c r="L113" s="23"/>
    </row>
    <row r="114" spans="1:12" x14ac:dyDescent="0.3">
      <c r="A114" s="22"/>
      <c r="B114" s="23"/>
      <c r="C114" s="23"/>
      <c r="D114" s="24"/>
      <c r="E114" s="25" t="str">
        <f>IF(C114="","",IFERROR(LOOKUP(2,1/(Precios!$B$5:$B$2004=C114),Precios!$C$5:$C$2004),0))</f>
        <v/>
      </c>
      <c r="F114" s="25" t="str">
        <f t="shared" si="15"/>
        <v/>
      </c>
      <c r="G114" s="26" t="str">
        <f>IF(C114="","",IFERROR(LOOKUP(2,1/(Precios!$B$5:$B$2004=C114),Precios!$C$5:$C$2004),0))</f>
        <v/>
      </c>
      <c r="H114" s="26" t="str">
        <f t="shared" si="12"/>
        <v/>
      </c>
      <c r="I114" s="26" t="str">
        <f t="shared" si="13"/>
        <v/>
      </c>
      <c r="J114" s="27">
        <f t="shared" si="14"/>
        <v>0</v>
      </c>
      <c r="K114" s="26">
        <v>0</v>
      </c>
      <c r="L114" s="23"/>
    </row>
    <row r="115" spans="1:12" x14ac:dyDescent="0.3">
      <c r="A115" s="22"/>
      <c r="B115" s="23"/>
      <c r="C115" s="23"/>
      <c r="D115" s="24"/>
      <c r="E115" s="25" t="str">
        <f>IF(C115="","",IFERROR(LOOKUP(2,1/(Precios!$B$5:$B$2004=C115),Precios!$C$5:$C$2004),0))</f>
        <v/>
      </c>
      <c r="F115" s="25" t="str">
        <f t="shared" si="15"/>
        <v/>
      </c>
      <c r="G115" s="26" t="str">
        <f>IF(C115="","",IFERROR(LOOKUP(2,1/(Precios!$B$5:$B$2004=C115),Precios!$C$5:$C$2004),0))</f>
        <v/>
      </c>
      <c r="H115" s="26" t="str">
        <f t="shared" si="12"/>
        <v/>
      </c>
      <c r="I115" s="26" t="str">
        <f t="shared" si="13"/>
        <v/>
      </c>
      <c r="J115" s="27">
        <f t="shared" si="14"/>
        <v>0</v>
      </c>
      <c r="K115" s="26">
        <v>0</v>
      </c>
      <c r="L115" s="23"/>
    </row>
    <row r="116" spans="1:12" x14ac:dyDescent="0.3">
      <c r="A116" s="22"/>
      <c r="B116" s="23"/>
      <c r="C116" s="23"/>
      <c r="D116" s="24"/>
      <c r="E116" s="25" t="str">
        <f>IF(C116="","",IFERROR(LOOKUP(2,1/(Precios!$B$5:$B$2004=C116),Precios!$C$5:$C$2004),0))</f>
        <v/>
      </c>
      <c r="F116" s="25" t="str">
        <f t="shared" si="15"/>
        <v/>
      </c>
      <c r="G116" s="26" t="str">
        <f>IF(C116="","",IFERROR(LOOKUP(2,1/(Precios!$B$5:$B$2004=C116),Precios!$C$5:$C$2004),0))</f>
        <v/>
      </c>
      <c r="H116" s="26" t="str">
        <f t="shared" si="12"/>
        <v/>
      </c>
      <c r="I116" s="26" t="str">
        <f t="shared" si="13"/>
        <v/>
      </c>
      <c r="J116" s="27">
        <f t="shared" si="14"/>
        <v>0</v>
      </c>
      <c r="K116" s="26">
        <v>0</v>
      </c>
      <c r="L116" s="23"/>
    </row>
    <row r="117" spans="1:12" x14ac:dyDescent="0.3">
      <c r="A117" s="22"/>
      <c r="B117" s="23"/>
      <c r="C117" s="23"/>
      <c r="D117" s="24"/>
      <c r="E117" s="25" t="str">
        <f>IF(C117="","",IFERROR(LOOKUP(2,1/(Precios!$B$5:$B$2004=C117),Precios!$C$5:$C$2004),0))</f>
        <v/>
      </c>
      <c r="F117" s="25" t="str">
        <f t="shared" si="15"/>
        <v/>
      </c>
      <c r="G117" s="26" t="str">
        <f>IF(C117="","",IFERROR(LOOKUP(2,1/(Precios!$B$5:$B$2004=C117),Precios!$C$5:$C$2004),0))</f>
        <v/>
      </c>
      <c r="H117" s="26" t="str">
        <f t="shared" si="12"/>
        <v/>
      </c>
      <c r="I117" s="26" t="str">
        <f t="shared" si="13"/>
        <v/>
      </c>
      <c r="J117" s="27">
        <f t="shared" si="14"/>
        <v>0</v>
      </c>
      <c r="K117" s="26">
        <v>0</v>
      </c>
      <c r="L117" s="23"/>
    </row>
    <row r="118" spans="1:12" x14ac:dyDescent="0.3">
      <c r="A118" s="22"/>
      <c r="B118" s="23"/>
      <c r="C118" s="23"/>
      <c r="D118" s="24"/>
      <c r="E118" s="25" t="str">
        <f>IF(C118="","",IFERROR(LOOKUP(2,1/(Precios!$B$5:$B$2004=C118),Precios!$C$5:$C$2004),0))</f>
        <v/>
      </c>
      <c r="F118" s="25" t="str">
        <f t="shared" si="15"/>
        <v/>
      </c>
      <c r="G118" s="26" t="str">
        <f>IF(C118="","",IFERROR(LOOKUP(2,1/(Precios!$B$5:$B$2004=C118),Precios!$C$5:$C$2004),0))</f>
        <v/>
      </c>
      <c r="H118" s="26" t="str">
        <f t="shared" si="12"/>
        <v/>
      </c>
      <c r="I118" s="26" t="str">
        <f t="shared" si="13"/>
        <v/>
      </c>
      <c r="J118" s="27">
        <f t="shared" si="14"/>
        <v>0</v>
      </c>
      <c r="K118" s="26">
        <v>0</v>
      </c>
      <c r="L118" s="23"/>
    </row>
    <row r="119" spans="1:12" x14ac:dyDescent="0.3">
      <c r="A119" s="22"/>
      <c r="B119" s="23"/>
      <c r="C119" s="23"/>
      <c r="D119" s="24"/>
      <c r="E119" s="25" t="str">
        <f>IF(C119="","",IFERROR(LOOKUP(2,1/(Precios!$B$5:$B$2004=C119),Precios!$C$5:$C$2004),0))</f>
        <v/>
      </c>
      <c r="F119" s="25" t="str">
        <f t="shared" si="15"/>
        <v/>
      </c>
      <c r="G119" s="26" t="str">
        <f>IF(C119="","",IFERROR(LOOKUP(2,1/(Precios!$B$5:$B$2004=C119),Precios!$C$5:$C$2004),0))</f>
        <v/>
      </c>
      <c r="H119" s="26" t="str">
        <f t="shared" si="12"/>
        <v/>
      </c>
      <c r="I119" s="26" t="str">
        <f t="shared" si="13"/>
        <v/>
      </c>
      <c r="J119" s="27">
        <f t="shared" si="14"/>
        <v>0</v>
      </c>
      <c r="K119" s="26">
        <v>0</v>
      </c>
      <c r="L119" s="23"/>
    </row>
    <row r="120" spans="1:12" x14ac:dyDescent="0.3">
      <c r="A120" s="22"/>
      <c r="B120" s="23"/>
      <c r="C120" s="23"/>
      <c r="D120" s="24"/>
      <c r="E120" s="25" t="str">
        <f>IF(C120="","",IFERROR(LOOKUP(2,1/(Precios!$B$5:$B$2004=C120),Precios!$C$5:$C$2004),0))</f>
        <v/>
      </c>
      <c r="F120" s="25" t="str">
        <f t="shared" si="15"/>
        <v/>
      </c>
      <c r="G120" s="26" t="str">
        <f>IF(C120="","",IFERROR(LOOKUP(2,1/(Precios!$B$5:$B$2004=C120),Precios!$C$5:$C$2004),0))</f>
        <v/>
      </c>
      <c r="H120" s="26" t="str">
        <f t="shared" si="12"/>
        <v/>
      </c>
      <c r="I120" s="26" t="str">
        <f t="shared" si="13"/>
        <v/>
      </c>
      <c r="J120" s="27">
        <f t="shared" si="14"/>
        <v>0</v>
      </c>
      <c r="K120" s="26">
        <v>0</v>
      </c>
      <c r="L120" s="23"/>
    </row>
    <row r="121" spans="1:12" x14ac:dyDescent="0.3">
      <c r="A121" s="22"/>
      <c r="B121" s="23"/>
      <c r="C121" s="23"/>
      <c r="D121" s="24"/>
      <c r="E121" s="25" t="str">
        <f>IF(C121="","",IFERROR(LOOKUP(2,1/(Precios!$B$5:$B$2004=C121),Precios!$C$5:$C$2004),0))</f>
        <v/>
      </c>
      <c r="F121" s="25" t="str">
        <f t="shared" si="15"/>
        <v/>
      </c>
      <c r="G121" s="26" t="str">
        <f>IF(C121="","",IFERROR(LOOKUP(2,1/(Precios!$B$5:$B$2004=C121),Precios!$C$5:$C$2004),0))</f>
        <v/>
      </c>
      <c r="H121" s="26" t="str">
        <f t="shared" si="12"/>
        <v/>
      </c>
      <c r="I121" s="26" t="str">
        <f t="shared" si="13"/>
        <v/>
      </c>
      <c r="J121" s="27">
        <f t="shared" si="14"/>
        <v>0</v>
      </c>
      <c r="K121" s="26">
        <v>0</v>
      </c>
      <c r="L121" s="23"/>
    </row>
    <row r="122" spans="1:12" x14ac:dyDescent="0.3">
      <c r="A122" s="22"/>
      <c r="B122" s="23"/>
      <c r="C122" s="23"/>
      <c r="D122" s="24"/>
      <c r="E122" s="25" t="str">
        <f>IF(C122="","",IFERROR(LOOKUP(2,1/(Precios!$B$5:$B$2004=C122),Precios!$C$5:$C$2004),0))</f>
        <v/>
      </c>
      <c r="F122" s="25" t="str">
        <f t="shared" si="15"/>
        <v/>
      </c>
      <c r="G122" s="26" t="str">
        <f>IF(C122="","",IFERROR(LOOKUP(2,1/(Precios!$B$5:$B$2004=C122),Precios!$C$5:$C$2004),0))</f>
        <v/>
      </c>
      <c r="H122" s="26" t="str">
        <f t="shared" si="12"/>
        <v/>
      </c>
      <c r="I122" s="26" t="str">
        <f t="shared" si="13"/>
        <v/>
      </c>
      <c r="J122" s="27">
        <f t="shared" si="14"/>
        <v>0</v>
      </c>
      <c r="K122" s="26">
        <v>0</v>
      </c>
      <c r="L122" s="23"/>
    </row>
    <row r="123" spans="1:12" x14ac:dyDescent="0.3">
      <c r="A123" s="22"/>
      <c r="B123" s="23"/>
      <c r="C123" s="23"/>
      <c r="D123" s="24"/>
      <c r="E123" s="25" t="str">
        <f>IF(C123="","",IFERROR(LOOKUP(2,1/(Precios!$B$5:$B$2004=C123),Precios!$C$5:$C$2004),0))</f>
        <v/>
      </c>
      <c r="F123" s="25" t="str">
        <f t="shared" si="15"/>
        <v/>
      </c>
      <c r="G123" s="26" t="str">
        <f>IF(C123="","",IFERROR(LOOKUP(2,1/(Precios!$B$5:$B$2004=C123),Precios!$C$5:$C$2004),0))</f>
        <v/>
      </c>
      <c r="H123" s="26" t="str">
        <f t="shared" si="12"/>
        <v/>
      </c>
      <c r="I123" s="26" t="str">
        <f t="shared" si="13"/>
        <v/>
      </c>
      <c r="J123" s="27">
        <f t="shared" si="14"/>
        <v>0</v>
      </c>
      <c r="K123" s="26">
        <v>0</v>
      </c>
      <c r="L123" s="23"/>
    </row>
    <row r="124" spans="1:12" x14ac:dyDescent="0.3">
      <c r="A124" s="22"/>
      <c r="B124" s="23"/>
      <c r="C124" s="23"/>
      <c r="D124" s="24"/>
      <c r="E124" s="25" t="str">
        <f>IF(C124="","",IFERROR(LOOKUP(2,1/(Precios!$B$5:$B$2004=C124),Precios!$C$5:$C$2004),0))</f>
        <v/>
      </c>
      <c r="F124" s="25" t="str">
        <f t="shared" si="15"/>
        <v/>
      </c>
      <c r="G124" s="26" t="str">
        <f>IF(C124="","",IFERROR(LOOKUP(2,1/(Precios!$B$5:$B$2004=C124),Precios!$C$5:$C$2004),0))</f>
        <v/>
      </c>
      <c r="H124" s="26" t="str">
        <f t="shared" si="12"/>
        <v/>
      </c>
      <c r="I124" s="26" t="str">
        <f t="shared" si="13"/>
        <v/>
      </c>
      <c r="J124" s="27">
        <f t="shared" si="14"/>
        <v>0</v>
      </c>
      <c r="K124" s="26">
        <v>0</v>
      </c>
      <c r="L124" s="23"/>
    </row>
    <row r="125" spans="1:12" x14ac:dyDescent="0.3">
      <c r="A125" s="22"/>
      <c r="B125" s="23"/>
      <c r="C125" s="23"/>
      <c r="D125" s="24"/>
      <c r="E125" s="25" t="str">
        <f>IF(C125="","",IFERROR(LOOKUP(2,1/(Precios!$B$5:$B$2004=C125),Precios!$C$5:$C$2004),0))</f>
        <v/>
      </c>
      <c r="F125" s="25" t="str">
        <f t="shared" si="15"/>
        <v/>
      </c>
      <c r="G125" s="26" t="str">
        <f>IF(C125="","",IFERROR(LOOKUP(2,1/(Precios!$B$5:$B$2004=C125),Precios!$C$5:$C$2004),0))</f>
        <v/>
      </c>
      <c r="H125" s="26" t="str">
        <f t="shared" si="12"/>
        <v/>
      </c>
      <c r="I125" s="26" t="str">
        <f t="shared" si="13"/>
        <v/>
      </c>
      <c r="J125" s="27">
        <f t="shared" si="14"/>
        <v>0</v>
      </c>
      <c r="K125" s="26">
        <v>0</v>
      </c>
      <c r="L125" s="23"/>
    </row>
    <row r="126" spans="1:12" x14ac:dyDescent="0.3">
      <c r="A126" s="22"/>
      <c r="B126" s="23"/>
      <c r="C126" s="23"/>
      <c r="D126" s="24"/>
      <c r="E126" s="25" t="str">
        <f>IF(C126="","",IFERROR(LOOKUP(2,1/(Precios!$B$5:$B$2004=C126),Precios!$C$5:$C$2004),0))</f>
        <v/>
      </c>
      <c r="F126" s="25" t="str">
        <f t="shared" si="15"/>
        <v/>
      </c>
      <c r="G126" s="26" t="str">
        <f>IF(C126="","",IFERROR(LOOKUP(2,1/(Precios!$B$5:$B$2004=C126),Precios!$C$5:$C$2004),0))</f>
        <v/>
      </c>
      <c r="H126" s="26" t="str">
        <f t="shared" si="12"/>
        <v/>
      </c>
      <c r="I126" s="26" t="str">
        <f t="shared" si="13"/>
        <v/>
      </c>
      <c r="J126" s="27">
        <f t="shared" si="14"/>
        <v>0</v>
      </c>
      <c r="K126" s="26">
        <v>0</v>
      </c>
      <c r="L126" s="23"/>
    </row>
    <row r="127" spans="1:12" x14ac:dyDescent="0.3">
      <c r="A127" s="22"/>
      <c r="B127" s="23"/>
      <c r="C127" s="23"/>
      <c r="D127" s="24"/>
      <c r="E127" s="25" t="str">
        <f>IF(C127="","",IFERROR(LOOKUP(2,1/(Precios!$B$5:$B$2004=C127),Precios!$C$5:$C$2004),0))</f>
        <v/>
      </c>
      <c r="F127" s="25" t="str">
        <f t="shared" si="15"/>
        <v/>
      </c>
      <c r="G127" s="26" t="str">
        <f>IF(C127="","",IFERROR(LOOKUP(2,1/(Precios!$B$5:$B$2004=C127),Precios!$C$5:$C$2004),0))</f>
        <v/>
      </c>
      <c r="H127" s="26" t="str">
        <f t="shared" si="12"/>
        <v/>
      </c>
      <c r="I127" s="26" t="str">
        <f t="shared" si="13"/>
        <v/>
      </c>
      <c r="J127" s="27">
        <f t="shared" si="14"/>
        <v>0</v>
      </c>
      <c r="K127" s="26">
        <v>0</v>
      </c>
      <c r="L127" s="23"/>
    </row>
    <row r="128" spans="1:12" x14ac:dyDescent="0.3">
      <c r="A128" s="22"/>
      <c r="B128" s="23"/>
      <c r="C128" s="23"/>
      <c r="D128" s="24"/>
      <c r="E128" s="25" t="str">
        <f>IF(C128="","",IFERROR(LOOKUP(2,1/(Precios!$B$5:$B$2004=C128),Precios!$C$5:$C$2004),0))</f>
        <v/>
      </c>
      <c r="F128" s="25" t="str">
        <f t="shared" si="15"/>
        <v/>
      </c>
      <c r="G128" s="26" t="str">
        <f>IF(C128="","",IFERROR(LOOKUP(2,1/(Precios!$B$5:$B$2004=C128),Precios!$C$5:$C$2004),0))</f>
        <v/>
      </c>
      <c r="H128" s="26" t="str">
        <f t="shared" si="12"/>
        <v/>
      </c>
      <c r="I128" s="26" t="str">
        <f t="shared" si="13"/>
        <v/>
      </c>
      <c r="J128" s="27">
        <f t="shared" si="14"/>
        <v>0</v>
      </c>
      <c r="K128" s="26">
        <v>0</v>
      </c>
      <c r="L128" s="23"/>
    </row>
    <row r="129" spans="1:12" x14ac:dyDescent="0.3">
      <c r="A129" s="22"/>
      <c r="B129" s="23"/>
      <c r="C129" s="23"/>
      <c r="D129" s="24"/>
      <c r="E129" s="25" t="str">
        <f>IF(C129="","",IFERROR(LOOKUP(2,1/(Precios!$B$5:$B$2004=C129),Precios!$C$5:$C$2004),0))</f>
        <v/>
      </c>
      <c r="F129" s="25" t="str">
        <f t="shared" si="15"/>
        <v/>
      </c>
      <c r="G129" s="26" t="str">
        <f>IF(C129="","",IFERROR(LOOKUP(2,1/(Precios!$B$5:$B$2004=C129),Precios!$C$5:$C$2004),0))</f>
        <v/>
      </c>
      <c r="H129" s="26" t="str">
        <f t="shared" si="12"/>
        <v/>
      </c>
      <c r="I129" s="26" t="str">
        <f t="shared" si="13"/>
        <v/>
      </c>
      <c r="J129" s="27">
        <f t="shared" si="14"/>
        <v>0</v>
      </c>
      <c r="K129" s="26">
        <v>0</v>
      </c>
      <c r="L129" s="23"/>
    </row>
    <row r="130" spans="1:12" x14ac:dyDescent="0.3">
      <c r="A130" s="22"/>
      <c r="B130" s="23"/>
      <c r="C130" s="23"/>
      <c r="D130" s="24"/>
      <c r="E130" s="25" t="str">
        <f>IF(C130="","",IFERROR(LOOKUP(2,1/(Precios!$B$5:$B$2004=C130),Precios!$C$5:$C$2004),0))</f>
        <v/>
      </c>
      <c r="F130" s="25" t="str">
        <f t="shared" si="15"/>
        <v/>
      </c>
      <c r="G130" s="26" t="str">
        <f>IF(C130="","",IFERROR(LOOKUP(2,1/(Precios!$B$5:$B$2004=C130),Precios!$C$5:$C$2004),0))</f>
        <v/>
      </c>
      <c r="H130" s="26" t="str">
        <f t="shared" si="12"/>
        <v/>
      </c>
      <c r="I130" s="26" t="str">
        <f t="shared" si="13"/>
        <v/>
      </c>
      <c r="J130" s="27">
        <f t="shared" si="14"/>
        <v>0</v>
      </c>
      <c r="K130" s="26">
        <v>0</v>
      </c>
      <c r="L130" s="23"/>
    </row>
    <row r="131" spans="1:12" x14ac:dyDescent="0.3">
      <c r="A131" s="22"/>
      <c r="B131" s="23"/>
      <c r="C131" s="23"/>
      <c r="D131" s="24"/>
      <c r="E131" s="25" t="str">
        <f>IF(C131="","",IFERROR(LOOKUP(2,1/(Precios!$B$5:$B$2004=C131),Precios!$C$5:$C$2004),0))</f>
        <v/>
      </c>
      <c r="F131" s="25" t="str">
        <f t="shared" si="15"/>
        <v/>
      </c>
      <c r="G131" s="26" t="str">
        <f>IF(C131="","",IFERROR(LOOKUP(2,1/(Precios!$B$5:$B$2004=C131),Precios!$C$5:$C$2004),0))</f>
        <v/>
      </c>
      <c r="H131" s="26" t="str">
        <f t="shared" si="12"/>
        <v/>
      </c>
      <c r="I131" s="26" t="str">
        <f t="shared" si="13"/>
        <v/>
      </c>
      <c r="J131" s="27">
        <f t="shared" si="14"/>
        <v>0</v>
      </c>
      <c r="K131" s="26">
        <v>0</v>
      </c>
      <c r="L131" s="23"/>
    </row>
    <row r="132" spans="1:12" x14ac:dyDescent="0.3">
      <c r="A132" s="22"/>
      <c r="B132" s="23"/>
      <c r="C132" s="23"/>
      <c r="D132" s="24"/>
      <c r="E132" s="25" t="str">
        <f>IF(C132="","",IFERROR(LOOKUP(2,1/(Precios!$B$5:$B$2004=C132),Precios!$C$5:$C$2004),0))</f>
        <v/>
      </c>
      <c r="F132" s="25" t="str">
        <f t="shared" si="15"/>
        <v/>
      </c>
      <c r="G132" s="26" t="str">
        <f>IF(C132="","",IFERROR(LOOKUP(2,1/(Precios!$B$5:$B$2004=C132),Precios!$C$5:$C$2004),0))</f>
        <v/>
      </c>
      <c r="H132" s="26" t="str">
        <f t="shared" si="12"/>
        <v/>
      </c>
      <c r="I132" s="26" t="str">
        <f t="shared" si="13"/>
        <v/>
      </c>
      <c r="J132" s="27">
        <f t="shared" si="14"/>
        <v>0</v>
      </c>
      <c r="K132" s="26">
        <v>0</v>
      </c>
      <c r="L132" s="23"/>
    </row>
    <row r="133" spans="1:12" x14ac:dyDescent="0.3">
      <c r="A133" s="22"/>
      <c r="B133" s="23"/>
      <c r="C133" s="23"/>
      <c r="D133" s="24"/>
      <c r="E133" s="25" t="str">
        <f>IF(C133="","",IFERROR(LOOKUP(2,1/(Precios!$B$5:$B$2004=C133),Precios!$C$5:$C$2004),0))</f>
        <v/>
      </c>
      <c r="F133" s="25" t="str">
        <f t="shared" si="15"/>
        <v/>
      </c>
      <c r="G133" s="26" t="str">
        <f>IF(C133="","",IFERROR(LOOKUP(2,1/(Precios!$B$5:$B$2004=C133),Precios!$C$5:$C$2004),0))</f>
        <v/>
      </c>
      <c r="H133" s="26" t="str">
        <f t="shared" ref="H133:H164" si="16">IF(D133="","",D133*G133)</f>
        <v/>
      </c>
      <c r="I133" s="26" t="str">
        <f t="shared" ref="I133:I164" si="17">IF(OR(H133="",F133=""),"",H133-F133)</f>
        <v/>
      </c>
      <c r="J133" s="27">
        <f t="shared" ref="J133:J164" si="18">IFERROR(I133/F133,0)</f>
        <v>0</v>
      </c>
      <c r="K133" s="26">
        <v>0</v>
      </c>
      <c r="L133" s="23"/>
    </row>
    <row r="134" spans="1:12" x14ac:dyDescent="0.3">
      <c r="A134" s="22"/>
      <c r="B134" s="23"/>
      <c r="C134" s="23"/>
      <c r="D134" s="24"/>
      <c r="E134" s="25" t="str">
        <f>IF(C134="","",IFERROR(LOOKUP(2,1/(Precios!$B$5:$B$2004=C134),Precios!$C$5:$C$2004),0))</f>
        <v/>
      </c>
      <c r="F134" s="25" t="str">
        <f t="shared" ref="F134:F165" si="19">IF(D134="","",D134*E134)</f>
        <v/>
      </c>
      <c r="G134" s="26" t="str">
        <f>IF(C134="","",IFERROR(LOOKUP(2,1/(Precios!$B$5:$B$2004=C134),Precios!$C$5:$C$2004),0))</f>
        <v/>
      </c>
      <c r="H134" s="26" t="str">
        <f t="shared" si="16"/>
        <v/>
      </c>
      <c r="I134" s="26" t="str">
        <f t="shared" si="17"/>
        <v/>
      </c>
      <c r="J134" s="27">
        <f t="shared" si="18"/>
        <v>0</v>
      </c>
      <c r="K134" s="26">
        <v>0</v>
      </c>
      <c r="L134" s="23"/>
    </row>
    <row r="135" spans="1:12" x14ac:dyDescent="0.3">
      <c r="A135" s="22"/>
      <c r="B135" s="23"/>
      <c r="C135" s="23"/>
      <c r="D135" s="24"/>
      <c r="E135" s="25" t="str">
        <f>IF(C135="","",IFERROR(LOOKUP(2,1/(Precios!$B$5:$B$2004=C135),Precios!$C$5:$C$2004),0))</f>
        <v/>
      </c>
      <c r="F135" s="25" t="str">
        <f t="shared" si="19"/>
        <v/>
      </c>
      <c r="G135" s="26" t="str">
        <f>IF(C135="","",IFERROR(LOOKUP(2,1/(Precios!$B$5:$B$2004=C135),Precios!$C$5:$C$2004),0))</f>
        <v/>
      </c>
      <c r="H135" s="26" t="str">
        <f t="shared" si="16"/>
        <v/>
      </c>
      <c r="I135" s="26" t="str">
        <f t="shared" si="17"/>
        <v/>
      </c>
      <c r="J135" s="27">
        <f t="shared" si="18"/>
        <v>0</v>
      </c>
      <c r="K135" s="26">
        <v>0</v>
      </c>
      <c r="L135" s="23"/>
    </row>
    <row r="136" spans="1:12" x14ac:dyDescent="0.3">
      <c r="A136" s="22"/>
      <c r="B136" s="23"/>
      <c r="C136" s="23"/>
      <c r="D136" s="24"/>
      <c r="E136" s="25" t="str">
        <f>IF(C136="","",IFERROR(LOOKUP(2,1/(Precios!$B$5:$B$2004=C136),Precios!$C$5:$C$2004),0))</f>
        <v/>
      </c>
      <c r="F136" s="25" t="str">
        <f t="shared" si="19"/>
        <v/>
      </c>
      <c r="G136" s="26" t="str">
        <f>IF(C136="","",IFERROR(LOOKUP(2,1/(Precios!$B$5:$B$2004=C136),Precios!$C$5:$C$2004),0))</f>
        <v/>
      </c>
      <c r="H136" s="26" t="str">
        <f t="shared" si="16"/>
        <v/>
      </c>
      <c r="I136" s="26" t="str">
        <f t="shared" si="17"/>
        <v/>
      </c>
      <c r="J136" s="27">
        <f t="shared" si="18"/>
        <v>0</v>
      </c>
      <c r="K136" s="26">
        <v>0</v>
      </c>
      <c r="L136" s="23"/>
    </row>
    <row r="137" spans="1:12" x14ac:dyDescent="0.3">
      <c r="A137" s="22"/>
      <c r="B137" s="23"/>
      <c r="C137" s="23"/>
      <c r="D137" s="24"/>
      <c r="E137" s="25" t="str">
        <f>IF(C137="","",IFERROR(LOOKUP(2,1/(Precios!$B$5:$B$2004=C137),Precios!$C$5:$C$2004),0))</f>
        <v/>
      </c>
      <c r="F137" s="25" t="str">
        <f t="shared" si="19"/>
        <v/>
      </c>
      <c r="G137" s="26" t="str">
        <f>IF(C137="","",IFERROR(LOOKUP(2,1/(Precios!$B$5:$B$2004=C137),Precios!$C$5:$C$2004),0))</f>
        <v/>
      </c>
      <c r="H137" s="26" t="str">
        <f t="shared" si="16"/>
        <v/>
      </c>
      <c r="I137" s="26" t="str">
        <f t="shared" si="17"/>
        <v/>
      </c>
      <c r="J137" s="27">
        <f t="shared" si="18"/>
        <v>0</v>
      </c>
      <c r="K137" s="26">
        <v>0</v>
      </c>
      <c r="L137" s="23"/>
    </row>
    <row r="138" spans="1:12" x14ac:dyDescent="0.3">
      <c r="A138" s="22"/>
      <c r="B138" s="23"/>
      <c r="C138" s="23"/>
      <c r="D138" s="24"/>
      <c r="E138" s="25" t="str">
        <f>IF(C138="","",IFERROR(LOOKUP(2,1/(Precios!$B$5:$B$2004=C138),Precios!$C$5:$C$2004),0))</f>
        <v/>
      </c>
      <c r="F138" s="25" t="str">
        <f t="shared" si="19"/>
        <v/>
      </c>
      <c r="G138" s="26" t="str">
        <f>IF(C138="","",IFERROR(LOOKUP(2,1/(Precios!$B$5:$B$2004=C138),Precios!$C$5:$C$2004),0))</f>
        <v/>
      </c>
      <c r="H138" s="26" t="str">
        <f t="shared" si="16"/>
        <v/>
      </c>
      <c r="I138" s="26" t="str">
        <f t="shared" si="17"/>
        <v/>
      </c>
      <c r="J138" s="27">
        <f t="shared" si="18"/>
        <v>0</v>
      </c>
      <c r="K138" s="26">
        <v>0</v>
      </c>
      <c r="L138" s="23"/>
    </row>
    <row r="139" spans="1:12" x14ac:dyDescent="0.3">
      <c r="A139" s="22"/>
      <c r="B139" s="23"/>
      <c r="C139" s="23"/>
      <c r="D139" s="24"/>
      <c r="E139" s="25" t="str">
        <f>IF(C139="","",IFERROR(LOOKUP(2,1/(Precios!$B$5:$B$2004=C139),Precios!$C$5:$C$2004),0))</f>
        <v/>
      </c>
      <c r="F139" s="25" t="str">
        <f t="shared" si="19"/>
        <v/>
      </c>
      <c r="G139" s="26" t="str">
        <f>IF(C139="","",IFERROR(LOOKUP(2,1/(Precios!$B$5:$B$2004=C139),Precios!$C$5:$C$2004),0))</f>
        <v/>
      </c>
      <c r="H139" s="26" t="str">
        <f t="shared" si="16"/>
        <v/>
      </c>
      <c r="I139" s="26" t="str">
        <f t="shared" si="17"/>
        <v/>
      </c>
      <c r="J139" s="27">
        <f t="shared" si="18"/>
        <v>0</v>
      </c>
      <c r="K139" s="26">
        <v>0</v>
      </c>
      <c r="L139" s="23"/>
    </row>
    <row r="140" spans="1:12" x14ac:dyDescent="0.3">
      <c r="A140" s="22"/>
      <c r="B140" s="23"/>
      <c r="C140" s="23"/>
      <c r="D140" s="24"/>
      <c r="E140" s="25" t="str">
        <f>IF(C140="","",IFERROR(LOOKUP(2,1/(Precios!$B$5:$B$2004=C140),Precios!$C$5:$C$2004),0))</f>
        <v/>
      </c>
      <c r="F140" s="25" t="str">
        <f t="shared" si="19"/>
        <v/>
      </c>
      <c r="G140" s="26" t="str">
        <f>IF(C140="","",IFERROR(LOOKUP(2,1/(Precios!$B$5:$B$2004=C140),Precios!$C$5:$C$2004),0))</f>
        <v/>
      </c>
      <c r="H140" s="26" t="str">
        <f t="shared" si="16"/>
        <v/>
      </c>
      <c r="I140" s="26" t="str">
        <f t="shared" si="17"/>
        <v/>
      </c>
      <c r="J140" s="27">
        <f t="shared" si="18"/>
        <v>0</v>
      </c>
      <c r="K140" s="26">
        <v>0</v>
      </c>
      <c r="L140" s="23"/>
    </row>
    <row r="141" spans="1:12" x14ac:dyDescent="0.3">
      <c r="A141" s="22"/>
      <c r="B141" s="23"/>
      <c r="C141" s="23"/>
      <c r="D141" s="24"/>
      <c r="E141" s="25" t="str">
        <f>IF(C141="","",IFERROR(LOOKUP(2,1/(Precios!$B$5:$B$2004=C141),Precios!$C$5:$C$2004),0))</f>
        <v/>
      </c>
      <c r="F141" s="25" t="str">
        <f t="shared" si="19"/>
        <v/>
      </c>
      <c r="G141" s="26" t="str">
        <f>IF(C141="","",IFERROR(LOOKUP(2,1/(Precios!$B$5:$B$2004=C141),Precios!$C$5:$C$2004),0))</f>
        <v/>
      </c>
      <c r="H141" s="26" t="str">
        <f t="shared" si="16"/>
        <v/>
      </c>
      <c r="I141" s="26" t="str">
        <f t="shared" si="17"/>
        <v/>
      </c>
      <c r="J141" s="27">
        <f t="shared" si="18"/>
        <v>0</v>
      </c>
      <c r="K141" s="26">
        <v>0</v>
      </c>
      <c r="L141" s="23"/>
    </row>
    <row r="142" spans="1:12" x14ac:dyDescent="0.3">
      <c r="A142" s="22"/>
      <c r="B142" s="23"/>
      <c r="C142" s="23"/>
      <c r="D142" s="24"/>
      <c r="E142" s="25" t="str">
        <f>IF(C142="","",IFERROR(LOOKUP(2,1/(Precios!$B$5:$B$2004=C142),Precios!$C$5:$C$2004),0))</f>
        <v/>
      </c>
      <c r="F142" s="25" t="str">
        <f t="shared" si="19"/>
        <v/>
      </c>
      <c r="G142" s="26" t="str">
        <f>IF(C142="","",IFERROR(LOOKUP(2,1/(Precios!$B$5:$B$2004=C142),Precios!$C$5:$C$2004),0))</f>
        <v/>
      </c>
      <c r="H142" s="26" t="str">
        <f t="shared" si="16"/>
        <v/>
      </c>
      <c r="I142" s="26" t="str">
        <f t="shared" si="17"/>
        <v/>
      </c>
      <c r="J142" s="27">
        <f t="shared" si="18"/>
        <v>0</v>
      </c>
      <c r="K142" s="26">
        <v>0</v>
      </c>
      <c r="L142" s="23"/>
    </row>
    <row r="143" spans="1:12" x14ac:dyDescent="0.3">
      <c r="A143" s="22"/>
      <c r="B143" s="23"/>
      <c r="C143" s="23"/>
      <c r="D143" s="24"/>
      <c r="E143" s="25" t="str">
        <f>IF(C143="","",IFERROR(LOOKUP(2,1/(Precios!$B$5:$B$2004=C143),Precios!$C$5:$C$2004),0))</f>
        <v/>
      </c>
      <c r="F143" s="25" t="str">
        <f t="shared" si="19"/>
        <v/>
      </c>
      <c r="G143" s="26" t="str">
        <f>IF(C143="","",IFERROR(LOOKUP(2,1/(Precios!$B$5:$B$2004=C143),Precios!$C$5:$C$2004),0))</f>
        <v/>
      </c>
      <c r="H143" s="26" t="str">
        <f t="shared" si="16"/>
        <v/>
      </c>
      <c r="I143" s="26" t="str">
        <f t="shared" si="17"/>
        <v/>
      </c>
      <c r="J143" s="27">
        <f t="shared" si="18"/>
        <v>0</v>
      </c>
      <c r="K143" s="26">
        <v>0</v>
      </c>
      <c r="L143" s="23"/>
    </row>
    <row r="144" spans="1:12" x14ac:dyDescent="0.3">
      <c r="A144" s="22"/>
      <c r="B144" s="23"/>
      <c r="C144" s="23"/>
      <c r="D144" s="24"/>
      <c r="E144" s="25" t="str">
        <f>IF(C144="","",IFERROR(LOOKUP(2,1/(Precios!$B$5:$B$2004=C144),Precios!$C$5:$C$2004),0))</f>
        <v/>
      </c>
      <c r="F144" s="25" t="str">
        <f t="shared" si="19"/>
        <v/>
      </c>
      <c r="G144" s="26" t="str">
        <f>IF(C144="","",IFERROR(LOOKUP(2,1/(Precios!$B$5:$B$2004=C144),Precios!$C$5:$C$2004),0))</f>
        <v/>
      </c>
      <c r="H144" s="26" t="str">
        <f t="shared" si="16"/>
        <v/>
      </c>
      <c r="I144" s="26" t="str">
        <f t="shared" si="17"/>
        <v/>
      </c>
      <c r="J144" s="27">
        <f t="shared" si="18"/>
        <v>0</v>
      </c>
      <c r="K144" s="26">
        <v>0</v>
      </c>
      <c r="L144" s="23"/>
    </row>
    <row r="145" spans="1:12" x14ac:dyDescent="0.3">
      <c r="A145" s="22"/>
      <c r="B145" s="23"/>
      <c r="C145" s="23"/>
      <c r="D145" s="24"/>
      <c r="E145" s="25" t="str">
        <f>IF(C145="","",IFERROR(LOOKUP(2,1/(Precios!$B$5:$B$2004=C145),Precios!$C$5:$C$2004),0))</f>
        <v/>
      </c>
      <c r="F145" s="25" t="str">
        <f t="shared" si="19"/>
        <v/>
      </c>
      <c r="G145" s="26" t="str">
        <f>IF(C145="","",IFERROR(LOOKUP(2,1/(Precios!$B$5:$B$2004=C145),Precios!$C$5:$C$2004),0))</f>
        <v/>
      </c>
      <c r="H145" s="26" t="str">
        <f t="shared" si="16"/>
        <v/>
      </c>
      <c r="I145" s="26" t="str">
        <f t="shared" si="17"/>
        <v/>
      </c>
      <c r="J145" s="27">
        <f t="shared" si="18"/>
        <v>0</v>
      </c>
      <c r="K145" s="26">
        <v>0</v>
      </c>
      <c r="L145" s="23"/>
    </row>
    <row r="146" spans="1:12" x14ac:dyDescent="0.3">
      <c r="A146" s="22"/>
      <c r="B146" s="23"/>
      <c r="C146" s="23"/>
      <c r="D146" s="24"/>
      <c r="E146" s="25" t="str">
        <f>IF(C146="","",IFERROR(LOOKUP(2,1/(Precios!$B$5:$B$2004=C146),Precios!$C$5:$C$2004),0))</f>
        <v/>
      </c>
      <c r="F146" s="25" t="str">
        <f t="shared" si="19"/>
        <v/>
      </c>
      <c r="G146" s="26" t="str">
        <f>IF(C146="","",IFERROR(LOOKUP(2,1/(Precios!$B$5:$B$2004=C146),Precios!$C$5:$C$2004),0))</f>
        <v/>
      </c>
      <c r="H146" s="26" t="str">
        <f t="shared" si="16"/>
        <v/>
      </c>
      <c r="I146" s="26" t="str">
        <f t="shared" si="17"/>
        <v/>
      </c>
      <c r="J146" s="27">
        <f t="shared" si="18"/>
        <v>0</v>
      </c>
      <c r="K146" s="26">
        <v>0</v>
      </c>
      <c r="L146" s="23"/>
    </row>
    <row r="147" spans="1:12" x14ac:dyDescent="0.3">
      <c r="A147" s="22"/>
      <c r="B147" s="23"/>
      <c r="C147" s="23"/>
      <c r="D147" s="24"/>
      <c r="E147" s="25" t="str">
        <f>IF(C147="","",IFERROR(LOOKUP(2,1/(Precios!$B$5:$B$2004=C147),Precios!$C$5:$C$2004),0))</f>
        <v/>
      </c>
      <c r="F147" s="25" t="str">
        <f t="shared" si="19"/>
        <v/>
      </c>
      <c r="G147" s="26" t="str">
        <f>IF(C147="","",IFERROR(LOOKUP(2,1/(Precios!$B$5:$B$2004=C147),Precios!$C$5:$C$2004),0))</f>
        <v/>
      </c>
      <c r="H147" s="26" t="str">
        <f t="shared" si="16"/>
        <v/>
      </c>
      <c r="I147" s="26" t="str">
        <f t="shared" si="17"/>
        <v/>
      </c>
      <c r="J147" s="27">
        <f t="shared" si="18"/>
        <v>0</v>
      </c>
      <c r="K147" s="26">
        <v>0</v>
      </c>
      <c r="L147" s="23"/>
    </row>
    <row r="148" spans="1:12" x14ac:dyDescent="0.3">
      <c r="A148" s="22"/>
      <c r="B148" s="23"/>
      <c r="C148" s="23"/>
      <c r="D148" s="24"/>
      <c r="E148" s="25" t="str">
        <f>IF(C148="","",IFERROR(LOOKUP(2,1/(Precios!$B$5:$B$2004=C148),Precios!$C$5:$C$2004),0))</f>
        <v/>
      </c>
      <c r="F148" s="25" t="str">
        <f t="shared" si="19"/>
        <v/>
      </c>
      <c r="G148" s="26" t="str">
        <f>IF(C148="","",IFERROR(LOOKUP(2,1/(Precios!$B$5:$B$2004=C148),Precios!$C$5:$C$2004),0))</f>
        <v/>
      </c>
      <c r="H148" s="26" t="str">
        <f t="shared" si="16"/>
        <v/>
      </c>
      <c r="I148" s="26" t="str">
        <f t="shared" si="17"/>
        <v/>
      </c>
      <c r="J148" s="27">
        <f t="shared" si="18"/>
        <v>0</v>
      </c>
      <c r="K148" s="26">
        <v>0</v>
      </c>
      <c r="L148" s="23"/>
    </row>
    <row r="149" spans="1:12" x14ac:dyDescent="0.3">
      <c r="A149" s="22"/>
      <c r="B149" s="23"/>
      <c r="C149" s="23"/>
      <c r="D149" s="24"/>
      <c r="E149" s="25" t="str">
        <f>IF(C149="","",IFERROR(LOOKUP(2,1/(Precios!$B$5:$B$2004=C149),Precios!$C$5:$C$2004),0))</f>
        <v/>
      </c>
      <c r="F149" s="25" t="str">
        <f t="shared" si="19"/>
        <v/>
      </c>
      <c r="G149" s="26" t="str">
        <f>IF(C149="","",IFERROR(LOOKUP(2,1/(Precios!$B$5:$B$2004=C149),Precios!$C$5:$C$2004),0))</f>
        <v/>
      </c>
      <c r="H149" s="26" t="str">
        <f t="shared" si="16"/>
        <v/>
      </c>
      <c r="I149" s="26" t="str">
        <f t="shared" si="17"/>
        <v/>
      </c>
      <c r="J149" s="27">
        <f t="shared" si="18"/>
        <v>0</v>
      </c>
      <c r="K149" s="26">
        <v>0</v>
      </c>
      <c r="L149" s="23"/>
    </row>
    <row r="150" spans="1:12" x14ac:dyDescent="0.3">
      <c r="A150" s="22"/>
      <c r="B150" s="23"/>
      <c r="C150" s="23"/>
      <c r="D150" s="24"/>
      <c r="E150" s="25" t="str">
        <f>IF(C150="","",IFERROR(LOOKUP(2,1/(Precios!$B$5:$B$2004=C150),Precios!$C$5:$C$2004),0))</f>
        <v/>
      </c>
      <c r="F150" s="25" t="str">
        <f t="shared" si="19"/>
        <v/>
      </c>
      <c r="G150" s="26" t="str">
        <f>IF(C150="","",IFERROR(LOOKUP(2,1/(Precios!$B$5:$B$2004=C150),Precios!$C$5:$C$2004),0))</f>
        <v/>
      </c>
      <c r="H150" s="26" t="str">
        <f t="shared" si="16"/>
        <v/>
      </c>
      <c r="I150" s="26" t="str">
        <f t="shared" si="17"/>
        <v/>
      </c>
      <c r="J150" s="27">
        <f t="shared" si="18"/>
        <v>0</v>
      </c>
      <c r="K150" s="26">
        <v>0</v>
      </c>
      <c r="L150" s="23"/>
    </row>
    <row r="151" spans="1:12" x14ac:dyDescent="0.3">
      <c r="A151" s="22"/>
      <c r="B151" s="23"/>
      <c r="C151" s="23"/>
      <c r="D151" s="24"/>
      <c r="E151" s="25" t="str">
        <f>IF(C151="","",IFERROR(LOOKUP(2,1/(Precios!$B$5:$B$2004=C151),Precios!$C$5:$C$2004),0))</f>
        <v/>
      </c>
      <c r="F151" s="25" t="str">
        <f t="shared" si="19"/>
        <v/>
      </c>
      <c r="G151" s="26" t="str">
        <f>IF(C151="","",IFERROR(LOOKUP(2,1/(Precios!$B$5:$B$2004=C151),Precios!$C$5:$C$2004),0))</f>
        <v/>
      </c>
      <c r="H151" s="26" t="str">
        <f t="shared" si="16"/>
        <v/>
      </c>
      <c r="I151" s="26" t="str">
        <f t="shared" si="17"/>
        <v/>
      </c>
      <c r="J151" s="27">
        <f t="shared" si="18"/>
        <v>0</v>
      </c>
      <c r="K151" s="26">
        <v>0</v>
      </c>
      <c r="L151" s="23"/>
    </row>
    <row r="152" spans="1:12" x14ac:dyDescent="0.3">
      <c r="A152" s="22"/>
      <c r="B152" s="23"/>
      <c r="C152" s="23"/>
      <c r="D152" s="24"/>
      <c r="E152" s="25" t="str">
        <f>IF(C152="","",IFERROR(LOOKUP(2,1/(Precios!$B$5:$B$2004=C152),Precios!$C$5:$C$2004),0))</f>
        <v/>
      </c>
      <c r="F152" s="25" t="str">
        <f t="shared" si="19"/>
        <v/>
      </c>
      <c r="G152" s="26" t="str">
        <f>IF(C152="","",IFERROR(LOOKUP(2,1/(Precios!$B$5:$B$2004=C152),Precios!$C$5:$C$2004),0))</f>
        <v/>
      </c>
      <c r="H152" s="26" t="str">
        <f t="shared" si="16"/>
        <v/>
      </c>
      <c r="I152" s="26" t="str">
        <f t="shared" si="17"/>
        <v/>
      </c>
      <c r="J152" s="27">
        <f t="shared" si="18"/>
        <v>0</v>
      </c>
      <c r="K152" s="26">
        <v>0</v>
      </c>
      <c r="L152" s="23"/>
    </row>
    <row r="153" spans="1:12" x14ac:dyDescent="0.3">
      <c r="A153" s="22"/>
      <c r="B153" s="23"/>
      <c r="C153" s="23"/>
      <c r="D153" s="24"/>
      <c r="E153" s="25" t="str">
        <f>IF(C153="","",IFERROR(LOOKUP(2,1/(Precios!$B$5:$B$2004=C153),Precios!$C$5:$C$2004),0))</f>
        <v/>
      </c>
      <c r="F153" s="25" t="str">
        <f t="shared" si="19"/>
        <v/>
      </c>
      <c r="G153" s="26" t="str">
        <f>IF(C153="","",IFERROR(LOOKUP(2,1/(Precios!$B$5:$B$2004=C153),Precios!$C$5:$C$2004),0))</f>
        <v/>
      </c>
      <c r="H153" s="26" t="str">
        <f t="shared" si="16"/>
        <v/>
      </c>
      <c r="I153" s="26" t="str">
        <f t="shared" si="17"/>
        <v/>
      </c>
      <c r="J153" s="27">
        <f t="shared" si="18"/>
        <v>0</v>
      </c>
      <c r="K153" s="26">
        <v>0</v>
      </c>
      <c r="L153" s="23"/>
    </row>
    <row r="154" spans="1:12" x14ac:dyDescent="0.3">
      <c r="A154" s="22"/>
      <c r="B154" s="23"/>
      <c r="C154" s="23"/>
      <c r="D154" s="24"/>
      <c r="E154" s="25" t="str">
        <f>IF(C154="","",IFERROR(LOOKUP(2,1/(Precios!$B$5:$B$2004=C154),Precios!$C$5:$C$2004),0))</f>
        <v/>
      </c>
      <c r="F154" s="25" t="str">
        <f t="shared" si="19"/>
        <v/>
      </c>
      <c r="G154" s="26" t="str">
        <f>IF(C154="","",IFERROR(LOOKUP(2,1/(Precios!$B$5:$B$2004=C154),Precios!$C$5:$C$2004),0))</f>
        <v/>
      </c>
      <c r="H154" s="26" t="str">
        <f t="shared" si="16"/>
        <v/>
      </c>
      <c r="I154" s="26" t="str">
        <f t="shared" si="17"/>
        <v/>
      </c>
      <c r="J154" s="27">
        <f t="shared" si="18"/>
        <v>0</v>
      </c>
      <c r="K154" s="26">
        <v>0</v>
      </c>
      <c r="L154" s="23"/>
    </row>
    <row r="155" spans="1:12" x14ac:dyDescent="0.3">
      <c r="A155" s="22"/>
      <c r="B155" s="23"/>
      <c r="C155" s="23"/>
      <c r="D155" s="24"/>
      <c r="E155" s="25" t="str">
        <f>IF(C155="","",IFERROR(LOOKUP(2,1/(Precios!$B$5:$B$2004=C155),Precios!$C$5:$C$2004),0))</f>
        <v/>
      </c>
      <c r="F155" s="25" t="str">
        <f t="shared" si="19"/>
        <v/>
      </c>
      <c r="G155" s="26" t="str">
        <f>IF(C155="","",IFERROR(LOOKUP(2,1/(Precios!$B$5:$B$2004=C155),Precios!$C$5:$C$2004),0))</f>
        <v/>
      </c>
      <c r="H155" s="26" t="str">
        <f t="shared" si="16"/>
        <v/>
      </c>
      <c r="I155" s="26" t="str">
        <f t="shared" si="17"/>
        <v/>
      </c>
      <c r="J155" s="27">
        <f t="shared" si="18"/>
        <v>0</v>
      </c>
      <c r="K155" s="26">
        <v>0</v>
      </c>
      <c r="L155" s="23"/>
    </row>
    <row r="156" spans="1:12" x14ac:dyDescent="0.3">
      <c r="A156" s="22"/>
      <c r="B156" s="23"/>
      <c r="C156" s="23"/>
      <c r="D156" s="24"/>
      <c r="E156" s="25" t="str">
        <f>IF(C156="","",IFERROR(LOOKUP(2,1/(Precios!$B$5:$B$2004=C156),Precios!$C$5:$C$2004),0))</f>
        <v/>
      </c>
      <c r="F156" s="25" t="str">
        <f t="shared" si="19"/>
        <v/>
      </c>
      <c r="G156" s="26" t="str">
        <f>IF(C156="","",IFERROR(LOOKUP(2,1/(Precios!$B$5:$B$2004=C156),Precios!$C$5:$C$2004),0))</f>
        <v/>
      </c>
      <c r="H156" s="26" t="str">
        <f t="shared" si="16"/>
        <v/>
      </c>
      <c r="I156" s="26" t="str">
        <f t="shared" si="17"/>
        <v/>
      </c>
      <c r="J156" s="27">
        <f t="shared" si="18"/>
        <v>0</v>
      </c>
      <c r="K156" s="26">
        <v>0</v>
      </c>
      <c r="L156" s="23"/>
    </row>
    <row r="157" spans="1:12" x14ac:dyDescent="0.3">
      <c r="A157" s="22"/>
      <c r="B157" s="23"/>
      <c r="C157" s="23"/>
      <c r="D157" s="24"/>
      <c r="E157" s="25" t="str">
        <f>IF(C157="","",IFERROR(LOOKUP(2,1/(Precios!$B$5:$B$2004=C157),Precios!$C$5:$C$2004),0))</f>
        <v/>
      </c>
      <c r="F157" s="25" t="str">
        <f t="shared" si="19"/>
        <v/>
      </c>
      <c r="G157" s="26" t="str">
        <f>IF(C157="","",IFERROR(LOOKUP(2,1/(Precios!$B$5:$B$2004=C157),Precios!$C$5:$C$2004),0))</f>
        <v/>
      </c>
      <c r="H157" s="26" t="str">
        <f t="shared" si="16"/>
        <v/>
      </c>
      <c r="I157" s="26" t="str">
        <f t="shared" si="17"/>
        <v/>
      </c>
      <c r="J157" s="27">
        <f t="shared" si="18"/>
        <v>0</v>
      </c>
      <c r="K157" s="26">
        <v>0</v>
      </c>
      <c r="L157" s="23"/>
    </row>
    <row r="158" spans="1:12" x14ac:dyDescent="0.3">
      <c r="A158" s="22"/>
      <c r="B158" s="23"/>
      <c r="C158" s="23"/>
      <c r="D158" s="24"/>
      <c r="E158" s="25" t="str">
        <f>IF(C158="","",IFERROR(LOOKUP(2,1/(Precios!$B$5:$B$2004=C158),Precios!$C$5:$C$2004),0))</f>
        <v/>
      </c>
      <c r="F158" s="25" t="str">
        <f t="shared" si="19"/>
        <v/>
      </c>
      <c r="G158" s="26" t="str">
        <f>IF(C158="","",IFERROR(LOOKUP(2,1/(Precios!$B$5:$B$2004=C158),Precios!$C$5:$C$2004),0))</f>
        <v/>
      </c>
      <c r="H158" s="26" t="str">
        <f t="shared" si="16"/>
        <v/>
      </c>
      <c r="I158" s="26" t="str">
        <f t="shared" si="17"/>
        <v/>
      </c>
      <c r="J158" s="27">
        <f t="shared" si="18"/>
        <v>0</v>
      </c>
      <c r="K158" s="26">
        <v>0</v>
      </c>
      <c r="L158" s="23"/>
    </row>
    <row r="159" spans="1:12" x14ac:dyDescent="0.3">
      <c r="A159" s="22"/>
      <c r="B159" s="23"/>
      <c r="C159" s="23"/>
      <c r="D159" s="24"/>
      <c r="E159" s="25" t="str">
        <f>IF(C159="","",IFERROR(LOOKUP(2,1/(Precios!$B$5:$B$2004=C159),Precios!$C$5:$C$2004),0))</f>
        <v/>
      </c>
      <c r="F159" s="25" t="str">
        <f t="shared" si="19"/>
        <v/>
      </c>
      <c r="G159" s="26" t="str">
        <f>IF(C159="","",IFERROR(LOOKUP(2,1/(Precios!$B$5:$B$2004=C159),Precios!$C$5:$C$2004),0))</f>
        <v/>
      </c>
      <c r="H159" s="26" t="str">
        <f t="shared" si="16"/>
        <v/>
      </c>
      <c r="I159" s="26" t="str">
        <f t="shared" si="17"/>
        <v/>
      </c>
      <c r="J159" s="27">
        <f t="shared" si="18"/>
        <v>0</v>
      </c>
      <c r="K159" s="26">
        <v>0</v>
      </c>
      <c r="L159" s="23"/>
    </row>
    <row r="160" spans="1:12" x14ac:dyDescent="0.3">
      <c r="A160" s="22"/>
      <c r="B160" s="23"/>
      <c r="C160" s="23"/>
      <c r="D160" s="24"/>
      <c r="E160" s="25" t="str">
        <f>IF(C160="","",IFERROR(LOOKUP(2,1/(Precios!$B$5:$B$2004=C160),Precios!$C$5:$C$2004),0))</f>
        <v/>
      </c>
      <c r="F160" s="25" t="str">
        <f t="shared" si="19"/>
        <v/>
      </c>
      <c r="G160" s="26" t="str">
        <f>IF(C160="","",IFERROR(LOOKUP(2,1/(Precios!$B$5:$B$2004=C160),Precios!$C$5:$C$2004),0))</f>
        <v/>
      </c>
      <c r="H160" s="26" t="str">
        <f t="shared" si="16"/>
        <v/>
      </c>
      <c r="I160" s="26" t="str">
        <f t="shared" si="17"/>
        <v/>
      </c>
      <c r="J160" s="27">
        <f t="shared" si="18"/>
        <v>0</v>
      </c>
      <c r="K160" s="26">
        <v>0</v>
      </c>
      <c r="L160" s="23"/>
    </row>
    <row r="161" spans="1:12" x14ac:dyDescent="0.3">
      <c r="A161" s="22"/>
      <c r="B161" s="23"/>
      <c r="C161" s="23"/>
      <c r="D161" s="24"/>
      <c r="E161" s="25" t="str">
        <f>IF(C161="","",IFERROR(LOOKUP(2,1/(Precios!$B$5:$B$2004=C161),Precios!$C$5:$C$2004),0))</f>
        <v/>
      </c>
      <c r="F161" s="25" t="str">
        <f t="shared" si="19"/>
        <v/>
      </c>
      <c r="G161" s="26" t="str">
        <f>IF(C161="","",IFERROR(LOOKUP(2,1/(Precios!$B$5:$B$2004=C161),Precios!$C$5:$C$2004),0))</f>
        <v/>
      </c>
      <c r="H161" s="26" t="str">
        <f t="shared" si="16"/>
        <v/>
      </c>
      <c r="I161" s="26" t="str">
        <f t="shared" si="17"/>
        <v/>
      </c>
      <c r="J161" s="27">
        <f t="shared" si="18"/>
        <v>0</v>
      </c>
      <c r="K161" s="26">
        <v>0</v>
      </c>
      <c r="L161" s="23"/>
    </row>
    <row r="162" spans="1:12" x14ac:dyDescent="0.3">
      <c r="A162" s="22"/>
      <c r="B162" s="23"/>
      <c r="C162" s="23"/>
      <c r="D162" s="24"/>
      <c r="E162" s="25" t="str">
        <f>IF(C162="","",IFERROR(LOOKUP(2,1/(Precios!$B$5:$B$2004=C162),Precios!$C$5:$C$2004),0))</f>
        <v/>
      </c>
      <c r="F162" s="25" t="str">
        <f t="shared" si="19"/>
        <v/>
      </c>
      <c r="G162" s="26" t="str">
        <f>IF(C162="","",IFERROR(LOOKUP(2,1/(Precios!$B$5:$B$2004=C162),Precios!$C$5:$C$2004),0))</f>
        <v/>
      </c>
      <c r="H162" s="26" t="str">
        <f t="shared" si="16"/>
        <v/>
      </c>
      <c r="I162" s="26" t="str">
        <f t="shared" si="17"/>
        <v/>
      </c>
      <c r="J162" s="27">
        <f t="shared" si="18"/>
        <v>0</v>
      </c>
      <c r="K162" s="26">
        <v>0</v>
      </c>
      <c r="L162" s="23"/>
    </row>
    <row r="163" spans="1:12" x14ac:dyDescent="0.3">
      <c r="A163" s="22"/>
      <c r="B163" s="23"/>
      <c r="C163" s="23"/>
      <c r="D163" s="24"/>
      <c r="E163" s="25" t="str">
        <f>IF(C163="","",IFERROR(LOOKUP(2,1/(Precios!$B$5:$B$2004=C163),Precios!$C$5:$C$2004),0))</f>
        <v/>
      </c>
      <c r="F163" s="25" t="str">
        <f t="shared" si="19"/>
        <v/>
      </c>
      <c r="G163" s="26" t="str">
        <f>IF(C163="","",IFERROR(LOOKUP(2,1/(Precios!$B$5:$B$2004=C163),Precios!$C$5:$C$2004),0))</f>
        <v/>
      </c>
      <c r="H163" s="26" t="str">
        <f t="shared" si="16"/>
        <v/>
      </c>
      <c r="I163" s="26" t="str">
        <f t="shared" si="17"/>
        <v/>
      </c>
      <c r="J163" s="27">
        <f t="shared" si="18"/>
        <v>0</v>
      </c>
      <c r="K163" s="26">
        <v>0</v>
      </c>
      <c r="L163" s="23"/>
    </row>
    <row r="164" spans="1:12" x14ac:dyDescent="0.3">
      <c r="A164" s="22"/>
      <c r="B164" s="23"/>
      <c r="C164" s="23"/>
      <c r="D164" s="24"/>
      <c r="E164" s="25" t="str">
        <f>IF(C164="","",IFERROR(LOOKUP(2,1/(Precios!$B$5:$B$2004=C164),Precios!$C$5:$C$2004),0))</f>
        <v/>
      </c>
      <c r="F164" s="25" t="str">
        <f t="shared" si="19"/>
        <v/>
      </c>
      <c r="G164" s="26" t="str">
        <f>IF(C164="","",IFERROR(LOOKUP(2,1/(Precios!$B$5:$B$2004=C164),Precios!$C$5:$C$2004),0))</f>
        <v/>
      </c>
      <c r="H164" s="26" t="str">
        <f t="shared" si="16"/>
        <v/>
      </c>
      <c r="I164" s="26" t="str">
        <f t="shared" si="17"/>
        <v/>
      </c>
      <c r="J164" s="27">
        <f t="shared" si="18"/>
        <v>0</v>
      </c>
      <c r="K164" s="26">
        <v>0</v>
      </c>
      <c r="L164" s="23"/>
    </row>
    <row r="165" spans="1:12" x14ac:dyDescent="0.3">
      <c r="A165" s="22"/>
      <c r="B165" s="23"/>
      <c r="C165" s="23"/>
      <c r="D165" s="24"/>
      <c r="E165" s="25" t="str">
        <f>IF(C165="","",IFERROR(LOOKUP(2,1/(Precios!$B$5:$B$2004=C165),Precios!$C$5:$C$2004),0))</f>
        <v/>
      </c>
      <c r="F165" s="25" t="str">
        <f t="shared" si="19"/>
        <v/>
      </c>
      <c r="G165" s="26" t="str">
        <f>IF(C165="","",IFERROR(LOOKUP(2,1/(Precios!$B$5:$B$2004=C165),Precios!$C$5:$C$2004),0))</f>
        <v/>
      </c>
      <c r="H165" s="26" t="str">
        <f t="shared" ref="H165:H196" si="20">IF(D165="","",D165*G165)</f>
        <v/>
      </c>
      <c r="I165" s="26" t="str">
        <f t="shared" ref="I165:I196" si="21">IF(OR(H165="",F165=""),"",H165-F165)</f>
        <v/>
      </c>
      <c r="J165" s="27">
        <f t="shared" ref="J165:J196" si="22">IFERROR(I165/F165,0)</f>
        <v>0</v>
      </c>
      <c r="K165" s="26">
        <v>0</v>
      </c>
      <c r="L165" s="23"/>
    </row>
    <row r="166" spans="1:12" x14ac:dyDescent="0.3">
      <c r="A166" s="22"/>
      <c r="B166" s="23"/>
      <c r="C166" s="23"/>
      <c r="D166" s="24"/>
      <c r="E166" s="25" t="str">
        <f>IF(C166="","",IFERROR(LOOKUP(2,1/(Precios!$B$5:$B$2004=C166),Precios!$C$5:$C$2004),0))</f>
        <v/>
      </c>
      <c r="F166" s="25" t="str">
        <f t="shared" ref="F166:F197" si="23">IF(D166="","",D166*E166)</f>
        <v/>
      </c>
      <c r="G166" s="26" t="str">
        <f>IF(C166="","",IFERROR(LOOKUP(2,1/(Precios!$B$5:$B$2004=C166),Precios!$C$5:$C$2004),0))</f>
        <v/>
      </c>
      <c r="H166" s="26" t="str">
        <f t="shared" si="20"/>
        <v/>
      </c>
      <c r="I166" s="26" t="str">
        <f t="shared" si="21"/>
        <v/>
      </c>
      <c r="J166" s="27">
        <f t="shared" si="22"/>
        <v>0</v>
      </c>
      <c r="K166" s="26">
        <v>0</v>
      </c>
      <c r="L166" s="23"/>
    </row>
    <row r="167" spans="1:12" x14ac:dyDescent="0.3">
      <c r="A167" s="22"/>
      <c r="B167" s="23"/>
      <c r="C167" s="23"/>
      <c r="D167" s="24"/>
      <c r="E167" s="25" t="str">
        <f>IF(C167="","",IFERROR(LOOKUP(2,1/(Precios!$B$5:$B$2004=C167),Precios!$C$5:$C$2004),0))</f>
        <v/>
      </c>
      <c r="F167" s="25" t="str">
        <f t="shared" si="23"/>
        <v/>
      </c>
      <c r="G167" s="26" t="str">
        <f>IF(C167="","",IFERROR(LOOKUP(2,1/(Precios!$B$5:$B$2004=C167),Precios!$C$5:$C$2004),0))</f>
        <v/>
      </c>
      <c r="H167" s="26" t="str">
        <f t="shared" si="20"/>
        <v/>
      </c>
      <c r="I167" s="26" t="str">
        <f t="shared" si="21"/>
        <v/>
      </c>
      <c r="J167" s="27">
        <f t="shared" si="22"/>
        <v>0</v>
      </c>
      <c r="K167" s="26">
        <v>0</v>
      </c>
      <c r="L167" s="23"/>
    </row>
    <row r="168" spans="1:12" x14ac:dyDescent="0.3">
      <c r="A168" s="22"/>
      <c r="B168" s="23"/>
      <c r="C168" s="23"/>
      <c r="D168" s="24"/>
      <c r="E168" s="25" t="str">
        <f>IF(C168="","",IFERROR(LOOKUP(2,1/(Precios!$B$5:$B$2004=C168),Precios!$C$5:$C$2004),0))</f>
        <v/>
      </c>
      <c r="F168" s="25" t="str">
        <f t="shared" si="23"/>
        <v/>
      </c>
      <c r="G168" s="26" t="str">
        <f>IF(C168="","",IFERROR(LOOKUP(2,1/(Precios!$B$5:$B$2004=C168),Precios!$C$5:$C$2004),0))</f>
        <v/>
      </c>
      <c r="H168" s="26" t="str">
        <f t="shared" si="20"/>
        <v/>
      </c>
      <c r="I168" s="26" t="str">
        <f t="shared" si="21"/>
        <v/>
      </c>
      <c r="J168" s="27">
        <f t="shared" si="22"/>
        <v>0</v>
      </c>
      <c r="K168" s="26">
        <v>0</v>
      </c>
      <c r="L168" s="23"/>
    </row>
    <row r="169" spans="1:12" x14ac:dyDescent="0.3">
      <c r="A169" s="22"/>
      <c r="B169" s="23"/>
      <c r="C169" s="23"/>
      <c r="D169" s="24"/>
      <c r="E169" s="25" t="str">
        <f>IF(C169="","",IFERROR(LOOKUP(2,1/(Precios!$B$5:$B$2004=C169),Precios!$C$5:$C$2004),0))</f>
        <v/>
      </c>
      <c r="F169" s="25" t="str">
        <f t="shared" si="23"/>
        <v/>
      </c>
      <c r="G169" s="26" t="str">
        <f>IF(C169="","",IFERROR(LOOKUP(2,1/(Precios!$B$5:$B$2004=C169),Precios!$C$5:$C$2004),0))</f>
        <v/>
      </c>
      <c r="H169" s="26" t="str">
        <f t="shared" si="20"/>
        <v/>
      </c>
      <c r="I169" s="26" t="str">
        <f t="shared" si="21"/>
        <v/>
      </c>
      <c r="J169" s="27">
        <f t="shared" si="22"/>
        <v>0</v>
      </c>
      <c r="K169" s="26">
        <v>0</v>
      </c>
      <c r="L169" s="23"/>
    </row>
    <row r="170" spans="1:12" x14ac:dyDescent="0.3">
      <c r="A170" s="22"/>
      <c r="B170" s="23"/>
      <c r="C170" s="23"/>
      <c r="D170" s="24"/>
      <c r="E170" s="25" t="str">
        <f>IF(C170="","",IFERROR(LOOKUP(2,1/(Precios!$B$5:$B$2004=C170),Precios!$C$5:$C$2004),0))</f>
        <v/>
      </c>
      <c r="F170" s="25" t="str">
        <f t="shared" si="23"/>
        <v/>
      </c>
      <c r="G170" s="26" t="str">
        <f>IF(C170="","",IFERROR(LOOKUP(2,1/(Precios!$B$5:$B$2004=C170),Precios!$C$5:$C$2004),0))</f>
        <v/>
      </c>
      <c r="H170" s="26" t="str">
        <f t="shared" si="20"/>
        <v/>
      </c>
      <c r="I170" s="26" t="str">
        <f t="shared" si="21"/>
        <v/>
      </c>
      <c r="J170" s="27">
        <f t="shared" si="22"/>
        <v>0</v>
      </c>
      <c r="K170" s="26">
        <v>0</v>
      </c>
      <c r="L170" s="23"/>
    </row>
    <row r="171" spans="1:12" x14ac:dyDescent="0.3">
      <c r="A171" s="22"/>
      <c r="B171" s="23"/>
      <c r="C171" s="23"/>
      <c r="D171" s="24"/>
      <c r="E171" s="25" t="str">
        <f>IF(C171="","",IFERROR(LOOKUP(2,1/(Precios!$B$5:$B$2004=C171),Precios!$C$5:$C$2004),0))</f>
        <v/>
      </c>
      <c r="F171" s="25" t="str">
        <f t="shared" si="23"/>
        <v/>
      </c>
      <c r="G171" s="26" t="str">
        <f>IF(C171="","",IFERROR(LOOKUP(2,1/(Precios!$B$5:$B$2004=C171),Precios!$C$5:$C$2004),0))</f>
        <v/>
      </c>
      <c r="H171" s="26" t="str">
        <f t="shared" si="20"/>
        <v/>
      </c>
      <c r="I171" s="26" t="str">
        <f t="shared" si="21"/>
        <v/>
      </c>
      <c r="J171" s="27">
        <f t="shared" si="22"/>
        <v>0</v>
      </c>
      <c r="K171" s="26">
        <v>0</v>
      </c>
      <c r="L171" s="23"/>
    </row>
    <row r="172" spans="1:12" x14ac:dyDescent="0.3">
      <c r="A172" s="22"/>
      <c r="B172" s="23"/>
      <c r="C172" s="23"/>
      <c r="D172" s="24"/>
      <c r="E172" s="25" t="str">
        <f>IF(C172="","",IFERROR(LOOKUP(2,1/(Precios!$B$5:$B$2004=C172),Precios!$C$5:$C$2004),0))</f>
        <v/>
      </c>
      <c r="F172" s="25" t="str">
        <f t="shared" si="23"/>
        <v/>
      </c>
      <c r="G172" s="26" t="str">
        <f>IF(C172="","",IFERROR(LOOKUP(2,1/(Precios!$B$5:$B$2004=C172),Precios!$C$5:$C$2004),0))</f>
        <v/>
      </c>
      <c r="H172" s="26" t="str">
        <f t="shared" si="20"/>
        <v/>
      </c>
      <c r="I172" s="26" t="str">
        <f t="shared" si="21"/>
        <v/>
      </c>
      <c r="J172" s="27">
        <f t="shared" si="22"/>
        <v>0</v>
      </c>
      <c r="K172" s="26">
        <v>0</v>
      </c>
      <c r="L172" s="23"/>
    </row>
    <row r="173" spans="1:12" x14ac:dyDescent="0.3">
      <c r="A173" s="22"/>
      <c r="B173" s="23"/>
      <c r="C173" s="23"/>
      <c r="D173" s="24"/>
      <c r="E173" s="25" t="str">
        <f>IF(C173="","",IFERROR(LOOKUP(2,1/(Precios!$B$5:$B$2004=C173),Precios!$C$5:$C$2004),0))</f>
        <v/>
      </c>
      <c r="F173" s="25" t="str">
        <f t="shared" si="23"/>
        <v/>
      </c>
      <c r="G173" s="26" t="str">
        <f>IF(C173="","",IFERROR(LOOKUP(2,1/(Precios!$B$5:$B$2004=C173),Precios!$C$5:$C$2004),0))</f>
        <v/>
      </c>
      <c r="H173" s="26" t="str">
        <f t="shared" si="20"/>
        <v/>
      </c>
      <c r="I173" s="26" t="str">
        <f t="shared" si="21"/>
        <v/>
      </c>
      <c r="J173" s="27">
        <f t="shared" si="22"/>
        <v>0</v>
      </c>
      <c r="K173" s="26">
        <v>0</v>
      </c>
      <c r="L173" s="23"/>
    </row>
    <row r="174" spans="1:12" x14ac:dyDescent="0.3">
      <c r="A174" s="22"/>
      <c r="B174" s="23"/>
      <c r="C174" s="23"/>
      <c r="D174" s="24"/>
      <c r="E174" s="25" t="str">
        <f>IF(C174="","",IFERROR(LOOKUP(2,1/(Precios!$B$5:$B$2004=C174),Precios!$C$5:$C$2004),0))</f>
        <v/>
      </c>
      <c r="F174" s="25" t="str">
        <f t="shared" si="23"/>
        <v/>
      </c>
      <c r="G174" s="26" t="str">
        <f>IF(C174="","",IFERROR(LOOKUP(2,1/(Precios!$B$5:$B$2004=C174),Precios!$C$5:$C$2004),0))</f>
        <v/>
      </c>
      <c r="H174" s="26" t="str">
        <f t="shared" si="20"/>
        <v/>
      </c>
      <c r="I174" s="26" t="str">
        <f t="shared" si="21"/>
        <v/>
      </c>
      <c r="J174" s="27">
        <f t="shared" si="22"/>
        <v>0</v>
      </c>
      <c r="K174" s="26">
        <v>0</v>
      </c>
      <c r="L174" s="23"/>
    </row>
    <row r="175" spans="1:12" x14ac:dyDescent="0.3">
      <c r="A175" s="22"/>
      <c r="B175" s="23"/>
      <c r="C175" s="23"/>
      <c r="D175" s="24"/>
      <c r="E175" s="25" t="str">
        <f>IF(C175="","",IFERROR(LOOKUP(2,1/(Precios!$B$5:$B$2004=C175),Precios!$C$5:$C$2004),0))</f>
        <v/>
      </c>
      <c r="F175" s="25" t="str">
        <f t="shared" si="23"/>
        <v/>
      </c>
      <c r="G175" s="26" t="str">
        <f>IF(C175="","",IFERROR(LOOKUP(2,1/(Precios!$B$5:$B$2004=C175),Precios!$C$5:$C$2004),0))</f>
        <v/>
      </c>
      <c r="H175" s="26" t="str">
        <f t="shared" si="20"/>
        <v/>
      </c>
      <c r="I175" s="26" t="str">
        <f t="shared" si="21"/>
        <v/>
      </c>
      <c r="J175" s="27">
        <f t="shared" si="22"/>
        <v>0</v>
      </c>
      <c r="K175" s="26">
        <v>0</v>
      </c>
      <c r="L175" s="23"/>
    </row>
    <row r="176" spans="1:12" x14ac:dyDescent="0.3">
      <c r="A176" s="22"/>
      <c r="B176" s="23"/>
      <c r="C176" s="23"/>
      <c r="D176" s="24"/>
      <c r="E176" s="25" t="str">
        <f>IF(C176="","",IFERROR(LOOKUP(2,1/(Precios!$B$5:$B$2004=C176),Precios!$C$5:$C$2004),0))</f>
        <v/>
      </c>
      <c r="F176" s="25" t="str">
        <f t="shared" si="23"/>
        <v/>
      </c>
      <c r="G176" s="26" t="str">
        <f>IF(C176="","",IFERROR(LOOKUP(2,1/(Precios!$B$5:$B$2004=C176),Precios!$C$5:$C$2004),0))</f>
        <v/>
      </c>
      <c r="H176" s="26" t="str">
        <f t="shared" si="20"/>
        <v/>
      </c>
      <c r="I176" s="26" t="str">
        <f t="shared" si="21"/>
        <v/>
      </c>
      <c r="J176" s="27">
        <f t="shared" si="22"/>
        <v>0</v>
      </c>
      <c r="K176" s="26">
        <v>0</v>
      </c>
      <c r="L176" s="23"/>
    </row>
    <row r="177" spans="1:12" x14ac:dyDescent="0.3">
      <c r="A177" s="22"/>
      <c r="B177" s="23"/>
      <c r="C177" s="23"/>
      <c r="D177" s="24"/>
      <c r="E177" s="25" t="str">
        <f>IF(C177="","",IFERROR(LOOKUP(2,1/(Precios!$B$5:$B$2004=C177),Precios!$C$5:$C$2004),0))</f>
        <v/>
      </c>
      <c r="F177" s="25" t="str">
        <f t="shared" si="23"/>
        <v/>
      </c>
      <c r="G177" s="26" t="str">
        <f>IF(C177="","",IFERROR(LOOKUP(2,1/(Precios!$B$5:$B$2004=C177),Precios!$C$5:$C$2004),0))</f>
        <v/>
      </c>
      <c r="H177" s="26" t="str">
        <f t="shared" si="20"/>
        <v/>
      </c>
      <c r="I177" s="26" t="str">
        <f t="shared" si="21"/>
        <v/>
      </c>
      <c r="J177" s="27">
        <f t="shared" si="22"/>
        <v>0</v>
      </c>
      <c r="K177" s="26">
        <v>0</v>
      </c>
      <c r="L177" s="23"/>
    </row>
    <row r="178" spans="1:12" x14ac:dyDescent="0.3">
      <c r="A178" s="22"/>
      <c r="B178" s="23"/>
      <c r="C178" s="23"/>
      <c r="D178" s="24"/>
      <c r="E178" s="25" t="str">
        <f>IF(C178="","",IFERROR(LOOKUP(2,1/(Precios!$B$5:$B$2004=C178),Precios!$C$5:$C$2004),0))</f>
        <v/>
      </c>
      <c r="F178" s="25" t="str">
        <f t="shared" si="23"/>
        <v/>
      </c>
      <c r="G178" s="26" t="str">
        <f>IF(C178="","",IFERROR(LOOKUP(2,1/(Precios!$B$5:$B$2004=C178),Precios!$C$5:$C$2004),0))</f>
        <v/>
      </c>
      <c r="H178" s="26" t="str">
        <f t="shared" si="20"/>
        <v/>
      </c>
      <c r="I178" s="26" t="str">
        <f t="shared" si="21"/>
        <v/>
      </c>
      <c r="J178" s="27">
        <f t="shared" si="22"/>
        <v>0</v>
      </c>
      <c r="K178" s="26">
        <v>0</v>
      </c>
      <c r="L178" s="23"/>
    </row>
    <row r="179" spans="1:12" x14ac:dyDescent="0.3">
      <c r="A179" s="22"/>
      <c r="B179" s="23"/>
      <c r="C179" s="23"/>
      <c r="D179" s="24"/>
      <c r="E179" s="25" t="str">
        <f>IF(C179="","",IFERROR(LOOKUP(2,1/(Precios!$B$5:$B$2004=C179),Precios!$C$5:$C$2004),0))</f>
        <v/>
      </c>
      <c r="F179" s="25" t="str">
        <f t="shared" si="23"/>
        <v/>
      </c>
      <c r="G179" s="26" t="str">
        <f>IF(C179="","",IFERROR(LOOKUP(2,1/(Precios!$B$5:$B$2004=C179),Precios!$C$5:$C$2004),0))</f>
        <v/>
      </c>
      <c r="H179" s="26" t="str">
        <f t="shared" si="20"/>
        <v/>
      </c>
      <c r="I179" s="26" t="str">
        <f t="shared" si="21"/>
        <v/>
      </c>
      <c r="J179" s="27">
        <f t="shared" si="22"/>
        <v>0</v>
      </c>
      <c r="K179" s="26">
        <v>0</v>
      </c>
      <c r="L179" s="23"/>
    </row>
    <row r="180" spans="1:12" x14ac:dyDescent="0.3">
      <c r="A180" s="22"/>
      <c r="B180" s="23"/>
      <c r="C180" s="23"/>
      <c r="D180" s="24"/>
      <c r="E180" s="25" t="str">
        <f>IF(C180="","",IFERROR(LOOKUP(2,1/(Precios!$B$5:$B$2004=C180),Precios!$C$5:$C$2004),0))</f>
        <v/>
      </c>
      <c r="F180" s="25" t="str">
        <f t="shared" si="23"/>
        <v/>
      </c>
      <c r="G180" s="26" t="str">
        <f>IF(C180="","",IFERROR(LOOKUP(2,1/(Precios!$B$5:$B$2004=C180),Precios!$C$5:$C$2004),0))</f>
        <v/>
      </c>
      <c r="H180" s="26" t="str">
        <f t="shared" si="20"/>
        <v/>
      </c>
      <c r="I180" s="26" t="str">
        <f t="shared" si="21"/>
        <v/>
      </c>
      <c r="J180" s="27">
        <f t="shared" si="22"/>
        <v>0</v>
      </c>
      <c r="K180" s="26">
        <v>0</v>
      </c>
      <c r="L180" s="23"/>
    </row>
    <row r="181" spans="1:12" x14ac:dyDescent="0.3">
      <c r="A181" s="22"/>
      <c r="B181" s="23"/>
      <c r="C181" s="23"/>
      <c r="D181" s="24"/>
      <c r="E181" s="25" t="str">
        <f>IF(C181="","",IFERROR(LOOKUP(2,1/(Precios!$B$5:$B$2004=C181),Precios!$C$5:$C$2004),0))</f>
        <v/>
      </c>
      <c r="F181" s="25" t="str">
        <f t="shared" si="23"/>
        <v/>
      </c>
      <c r="G181" s="26" t="str">
        <f>IF(C181="","",IFERROR(LOOKUP(2,1/(Precios!$B$5:$B$2004=C181),Precios!$C$5:$C$2004),0))</f>
        <v/>
      </c>
      <c r="H181" s="26" t="str">
        <f t="shared" si="20"/>
        <v/>
      </c>
      <c r="I181" s="26" t="str">
        <f t="shared" si="21"/>
        <v/>
      </c>
      <c r="J181" s="27">
        <f t="shared" si="22"/>
        <v>0</v>
      </c>
      <c r="K181" s="26">
        <v>0</v>
      </c>
      <c r="L181" s="23"/>
    </row>
    <row r="182" spans="1:12" x14ac:dyDescent="0.3">
      <c r="A182" s="22"/>
      <c r="B182" s="23"/>
      <c r="C182" s="23"/>
      <c r="D182" s="24"/>
      <c r="E182" s="25" t="str">
        <f>IF(C182="","",IFERROR(LOOKUP(2,1/(Precios!$B$5:$B$2004=C182),Precios!$C$5:$C$2004),0))</f>
        <v/>
      </c>
      <c r="F182" s="25" t="str">
        <f t="shared" si="23"/>
        <v/>
      </c>
      <c r="G182" s="26" t="str">
        <f>IF(C182="","",IFERROR(LOOKUP(2,1/(Precios!$B$5:$B$2004=C182),Precios!$C$5:$C$2004),0))</f>
        <v/>
      </c>
      <c r="H182" s="26" t="str">
        <f t="shared" si="20"/>
        <v/>
      </c>
      <c r="I182" s="26" t="str">
        <f t="shared" si="21"/>
        <v/>
      </c>
      <c r="J182" s="27">
        <f t="shared" si="22"/>
        <v>0</v>
      </c>
      <c r="K182" s="26">
        <v>0</v>
      </c>
      <c r="L182" s="23"/>
    </row>
    <row r="183" spans="1:12" x14ac:dyDescent="0.3">
      <c r="A183" s="22"/>
      <c r="B183" s="23"/>
      <c r="C183" s="23"/>
      <c r="D183" s="24"/>
      <c r="E183" s="25" t="str">
        <f>IF(C183="","",IFERROR(LOOKUP(2,1/(Precios!$B$5:$B$2004=C183),Precios!$C$5:$C$2004),0))</f>
        <v/>
      </c>
      <c r="F183" s="25" t="str">
        <f t="shared" si="23"/>
        <v/>
      </c>
      <c r="G183" s="26" t="str">
        <f>IF(C183="","",IFERROR(LOOKUP(2,1/(Precios!$B$5:$B$2004=C183),Precios!$C$5:$C$2004),0))</f>
        <v/>
      </c>
      <c r="H183" s="26" t="str">
        <f t="shared" si="20"/>
        <v/>
      </c>
      <c r="I183" s="26" t="str">
        <f t="shared" si="21"/>
        <v/>
      </c>
      <c r="J183" s="27">
        <f t="shared" si="22"/>
        <v>0</v>
      </c>
      <c r="K183" s="26">
        <v>0</v>
      </c>
      <c r="L183" s="23"/>
    </row>
    <row r="184" spans="1:12" x14ac:dyDescent="0.3">
      <c r="A184" s="22"/>
      <c r="B184" s="23"/>
      <c r="C184" s="23"/>
      <c r="D184" s="24"/>
      <c r="E184" s="25" t="str">
        <f>IF(C184="","",IFERROR(LOOKUP(2,1/(Precios!$B$5:$B$2004=C184),Precios!$C$5:$C$2004),0))</f>
        <v/>
      </c>
      <c r="F184" s="25" t="str">
        <f t="shared" si="23"/>
        <v/>
      </c>
      <c r="G184" s="26" t="str">
        <f>IF(C184="","",IFERROR(LOOKUP(2,1/(Precios!$B$5:$B$2004=C184),Precios!$C$5:$C$2004),0))</f>
        <v/>
      </c>
      <c r="H184" s="26" t="str">
        <f t="shared" si="20"/>
        <v/>
      </c>
      <c r="I184" s="26" t="str">
        <f t="shared" si="21"/>
        <v/>
      </c>
      <c r="J184" s="27">
        <f t="shared" si="22"/>
        <v>0</v>
      </c>
      <c r="K184" s="26">
        <v>0</v>
      </c>
      <c r="L184" s="23"/>
    </row>
    <row r="185" spans="1:12" x14ac:dyDescent="0.3">
      <c r="A185" s="22"/>
      <c r="B185" s="23"/>
      <c r="C185" s="23"/>
      <c r="D185" s="24"/>
      <c r="E185" s="25" t="str">
        <f>IF(C185="","",IFERROR(LOOKUP(2,1/(Precios!$B$5:$B$2004=C185),Precios!$C$5:$C$2004),0))</f>
        <v/>
      </c>
      <c r="F185" s="25" t="str">
        <f t="shared" si="23"/>
        <v/>
      </c>
      <c r="G185" s="26" t="str">
        <f>IF(C185="","",IFERROR(LOOKUP(2,1/(Precios!$B$5:$B$2004=C185),Precios!$C$5:$C$2004),0))</f>
        <v/>
      </c>
      <c r="H185" s="26" t="str">
        <f t="shared" si="20"/>
        <v/>
      </c>
      <c r="I185" s="26" t="str">
        <f t="shared" si="21"/>
        <v/>
      </c>
      <c r="J185" s="27">
        <f t="shared" si="22"/>
        <v>0</v>
      </c>
      <c r="K185" s="26">
        <v>0</v>
      </c>
      <c r="L185" s="23"/>
    </row>
    <row r="186" spans="1:12" x14ac:dyDescent="0.3">
      <c r="A186" s="22"/>
      <c r="B186" s="23"/>
      <c r="C186" s="23"/>
      <c r="D186" s="24"/>
      <c r="E186" s="25" t="str">
        <f>IF(C186="","",IFERROR(LOOKUP(2,1/(Precios!$B$5:$B$2004=C186),Precios!$C$5:$C$2004),0))</f>
        <v/>
      </c>
      <c r="F186" s="25" t="str">
        <f t="shared" si="23"/>
        <v/>
      </c>
      <c r="G186" s="26" t="str">
        <f>IF(C186="","",IFERROR(LOOKUP(2,1/(Precios!$B$5:$B$2004=C186),Precios!$C$5:$C$2004),0))</f>
        <v/>
      </c>
      <c r="H186" s="26" t="str">
        <f t="shared" si="20"/>
        <v/>
      </c>
      <c r="I186" s="26" t="str">
        <f t="shared" si="21"/>
        <v/>
      </c>
      <c r="J186" s="27">
        <f t="shared" si="22"/>
        <v>0</v>
      </c>
      <c r="K186" s="26">
        <v>0</v>
      </c>
      <c r="L186" s="23"/>
    </row>
    <row r="187" spans="1:12" x14ac:dyDescent="0.3">
      <c r="A187" s="22"/>
      <c r="B187" s="23"/>
      <c r="C187" s="23"/>
      <c r="D187" s="24"/>
      <c r="E187" s="25" t="str">
        <f>IF(C187="","",IFERROR(LOOKUP(2,1/(Precios!$B$5:$B$2004=C187),Precios!$C$5:$C$2004),0))</f>
        <v/>
      </c>
      <c r="F187" s="25" t="str">
        <f t="shared" si="23"/>
        <v/>
      </c>
      <c r="G187" s="26" t="str">
        <f>IF(C187="","",IFERROR(LOOKUP(2,1/(Precios!$B$5:$B$2004=C187),Precios!$C$5:$C$2004),0))</f>
        <v/>
      </c>
      <c r="H187" s="26" t="str">
        <f t="shared" si="20"/>
        <v/>
      </c>
      <c r="I187" s="26" t="str">
        <f t="shared" si="21"/>
        <v/>
      </c>
      <c r="J187" s="27">
        <f t="shared" si="22"/>
        <v>0</v>
      </c>
      <c r="K187" s="26">
        <v>0</v>
      </c>
      <c r="L187" s="23"/>
    </row>
    <row r="188" spans="1:12" x14ac:dyDescent="0.3">
      <c r="A188" s="22"/>
      <c r="B188" s="23"/>
      <c r="C188" s="23"/>
      <c r="D188" s="24"/>
      <c r="E188" s="25" t="str">
        <f>IF(C188="","",IFERROR(LOOKUP(2,1/(Precios!$B$5:$B$2004=C188),Precios!$C$5:$C$2004),0))</f>
        <v/>
      </c>
      <c r="F188" s="25" t="str">
        <f t="shared" si="23"/>
        <v/>
      </c>
      <c r="G188" s="26" t="str">
        <f>IF(C188="","",IFERROR(LOOKUP(2,1/(Precios!$B$5:$B$2004=C188),Precios!$C$5:$C$2004),0))</f>
        <v/>
      </c>
      <c r="H188" s="26" t="str">
        <f t="shared" si="20"/>
        <v/>
      </c>
      <c r="I188" s="26" t="str">
        <f t="shared" si="21"/>
        <v/>
      </c>
      <c r="J188" s="27">
        <f t="shared" si="22"/>
        <v>0</v>
      </c>
      <c r="K188" s="26">
        <v>0</v>
      </c>
      <c r="L188" s="23"/>
    </row>
    <row r="189" spans="1:12" x14ac:dyDescent="0.3">
      <c r="A189" s="22"/>
      <c r="B189" s="23"/>
      <c r="C189" s="23"/>
      <c r="D189" s="24"/>
      <c r="E189" s="25" t="str">
        <f>IF(C189="","",IFERROR(LOOKUP(2,1/(Precios!$B$5:$B$2004=C189),Precios!$C$5:$C$2004),0))</f>
        <v/>
      </c>
      <c r="F189" s="25" t="str">
        <f t="shared" si="23"/>
        <v/>
      </c>
      <c r="G189" s="26" t="str">
        <f>IF(C189="","",IFERROR(LOOKUP(2,1/(Precios!$B$5:$B$2004=C189),Precios!$C$5:$C$2004),0))</f>
        <v/>
      </c>
      <c r="H189" s="26" t="str">
        <f t="shared" si="20"/>
        <v/>
      </c>
      <c r="I189" s="26" t="str">
        <f t="shared" si="21"/>
        <v/>
      </c>
      <c r="J189" s="27">
        <f t="shared" si="22"/>
        <v>0</v>
      </c>
      <c r="K189" s="26">
        <v>0</v>
      </c>
      <c r="L189" s="23"/>
    </row>
    <row r="190" spans="1:12" x14ac:dyDescent="0.3">
      <c r="A190" s="22"/>
      <c r="B190" s="23"/>
      <c r="C190" s="23"/>
      <c r="D190" s="24"/>
      <c r="E190" s="25" t="str">
        <f>IF(C190="","",IFERROR(LOOKUP(2,1/(Precios!$B$5:$B$2004=C190),Precios!$C$5:$C$2004),0))</f>
        <v/>
      </c>
      <c r="F190" s="25" t="str">
        <f t="shared" si="23"/>
        <v/>
      </c>
      <c r="G190" s="26" t="str">
        <f>IF(C190="","",IFERROR(LOOKUP(2,1/(Precios!$B$5:$B$2004=C190),Precios!$C$5:$C$2004),0))</f>
        <v/>
      </c>
      <c r="H190" s="26" t="str">
        <f t="shared" si="20"/>
        <v/>
      </c>
      <c r="I190" s="26" t="str">
        <f t="shared" si="21"/>
        <v/>
      </c>
      <c r="J190" s="27">
        <f t="shared" si="22"/>
        <v>0</v>
      </c>
      <c r="K190" s="26">
        <v>0</v>
      </c>
      <c r="L190" s="23"/>
    </row>
    <row r="191" spans="1:12" x14ac:dyDescent="0.3">
      <c r="A191" s="22"/>
      <c r="B191" s="23"/>
      <c r="C191" s="23"/>
      <c r="D191" s="24"/>
      <c r="E191" s="25" t="str">
        <f>IF(C191="","",IFERROR(LOOKUP(2,1/(Precios!$B$5:$B$2004=C191),Precios!$C$5:$C$2004),0))</f>
        <v/>
      </c>
      <c r="F191" s="25" t="str">
        <f t="shared" si="23"/>
        <v/>
      </c>
      <c r="G191" s="26" t="str">
        <f>IF(C191="","",IFERROR(LOOKUP(2,1/(Precios!$B$5:$B$2004=C191),Precios!$C$5:$C$2004),0))</f>
        <v/>
      </c>
      <c r="H191" s="26" t="str">
        <f t="shared" si="20"/>
        <v/>
      </c>
      <c r="I191" s="26" t="str">
        <f t="shared" si="21"/>
        <v/>
      </c>
      <c r="J191" s="27">
        <f t="shared" si="22"/>
        <v>0</v>
      </c>
      <c r="K191" s="26">
        <v>0</v>
      </c>
      <c r="L191" s="23"/>
    </row>
    <row r="192" spans="1:12" x14ac:dyDescent="0.3">
      <c r="A192" s="22"/>
      <c r="B192" s="23"/>
      <c r="C192" s="23"/>
      <c r="D192" s="24"/>
      <c r="E192" s="25" t="str">
        <f>IF(C192="","",IFERROR(LOOKUP(2,1/(Precios!$B$5:$B$2004=C192),Precios!$C$5:$C$2004),0))</f>
        <v/>
      </c>
      <c r="F192" s="25" t="str">
        <f t="shared" si="23"/>
        <v/>
      </c>
      <c r="G192" s="26" t="str">
        <f>IF(C192="","",IFERROR(LOOKUP(2,1/(Precios!$B$5:$B$2004=C192),Precios!$C$5:$C$2004),0))</f>
        <v/>
      </c>
      <c r="H192" s="26" t="str">
        <f t="shared" si="20"/>
        <v/>
      </c>
      <c r="I192" s="26" t="str">
        <f t="shared" si="21"/>
        <v/>
      </c>
      <c r="J192" s="27">
        <f t="shared" si="22"/>
        <v>0</v>
      </c>
      <c r="K192" s="26">
        <v>0</v>
      </c>
      <c r="L192" s="23"/>
    </row>
    <row r="193" spans="1:12" x14ac:dyDescent="0.3">
      <c r="A193" s="22"/>
      <c r="B193" s="23"/>
      <c r="C193" s="23"/>
      <c r="D193" s="24"/>
      <c r="E193" s="25" t="str">
        <f>IF(C193="","",IFERROR(LOOKUP(2,1/(Precios!$B$5:$B$2004=C193),Precios!$C$5:$C$2004),0))</f>
        <v/>
      </c>
      <c r="F193" s="25" t="str">
        <f t="shared" si="23"/>
        <v/>
      </c>
      <c r="G193" s="26" t="str">
        <f>IF(C193="","",IFERROR(LOOKUP(2,1/(Precios!$B$5:$B$2004=C193),Precios!$C$5:$C$2004),0))</f>
        <v/>
      </c>
      <c r="H193" s="26" t="str">
        <f t="shared" si="20"/>
        <v/>
      </c>
      <c r="I193" s="26" t="str">
        <f t="shared" si="21"/>
        <v/>
      </c>
      <c r="J193" s="27">
        <f t="shared" si="22"/>
        <v>0</v>
      </c>
      <c r="K193" s="26">
        <v>0</v>
      </c>
      <c r="L193" s="23"/>
    </row>
    <row r="194" spans="1:12" x14ac:dyDescent="0.3">
      <c r="A194" s="22"/>
      <c r="B194" s="23"/>
      <c r="C194" s="23"/>
      <c r="D194" s="24"/>
      <c r="E194" s="25" t="str">
        <f>IF(C194="","",IFERROR(LOOKUP(2,1/(Precios!$B$5:$B$2004=C194),Precios!$C$5:$C$2004),0))</f>
        <v/>
      </c>
      <c r="F194" s="25" t="str">
        <f t="shared" si="23"/>
        <v/>
      </c>
      <c r="G194" s="26" t="str">
        <f>IF(C194="","",IFERROR(LOOKUP(2,1/(Precios!$B$5:$B$2004=C194),Precios!$C$5:$C$2004),0))</f>
        <v/>
      </c>
      <c r="H194" s="26" t="str">
        <f t="shared" si="20"/>
        <v/>
      </c>
      <c r="I194" s="26" t="str">
        <f t="shared" si="21"/>
        <v/>
      </c>
      <c r="J194" s="27">
        <f t="shared" si="22"/>
        <v>0</v>
      </c>
      <c r="K194" s="26">
        <v>0</v>
      </c>
      <c r="L194" s="23"/>
    </row>
    <row r="195" spans="1:12" x14ac:dyDescent="0.3">
      <c r="A195" s="22"/>
      <c r="B195" s="23"/>
      <c r="C195" s="23"/>
      <c r="D195" s="24"/>
      <c r="E195" s="25" t="str">
        <f>IF(C195="","",IFERROR(LOOKUP(2,1/(Precios!$B$5:$B$2004=C195),Precios!$C$5:$C$2004),0))</f>
        <v/>
      </c>
      <c r="F195" s="25" t="str">
        <f t="shared" si="23"/>
        <v/>
      </c>
      <c r="G195" s="26" t="str">
        <f>IF(C195="","",IFERROR(LOOKUP(2,1/(Precios!$B$5:$B$2004=C195),Precios!$C$5:$C$2004),0))</f>
        <v/>
      </c>
      <c r="H195" s="26" t="str">
        <f t="shared" si="20"/>
        <v/>
      </c>
      <c r="I195" s="26" t="str">
        <f t="shared" si="21"/>
        <v/>
      </c>
      <c r="J195" s="27">
        <f t="shared" si="22"/>
        <v>0</v>
      </c>
      <c r="K195" s="26">
        <v>0</v>
      </c>
      <c r="L195" s="23"/>
    </row>
    <row r="196" spans="1:12" x14ac:dyDescent="0.3">
      <c r="A196" s="22"/>
      <c r="B196" s="23"/>
      <c r="C196" s="23"/>
      <c r="D196" s="24"/>
      <c r="E196" s="25" t="str">
        <f>IF(C196="","",IFERROR(LOOKUP(2,1/(Precios!$B$5:$B$2004=C196),Precios!$C$5:$C$2004),0))</f>
        <v/>
      </c>
      <c r="F196" s="25" t="str">
        <f t="shared" si="23"/>
        <v/>
      </c>
      <c r="G196" s="26" t="str">
        <f>IF(C196="","",IFERROR(LOOKUP(2,1/(Precios!$B$5:$B$2004=C196),Precios!$C$5:$C$2004),0))</f>
        <v/>
      </c>
      <c r="H196" s="26" t="str">
        <f t="shared" si="20"/>
        <v/>
      </c>
      <c r="I196" s="26" t="str">
        <f t="shared" si="21"/>
        <v/>
      </c>
      <c r="J196" s="27">
        <f t="shared" si="22"/>
        <v>0</v>
      </c>
      <c r="K196" s="26">
        <v>0</v>
      </c>
      <c r="L196" s="23"/>
    </row>
    <row r="197" spans="1:12" x14ac:dyDescent="0.3">
      <c r="A197" s="22"/>
      <c r="B197" s="23"/>
      <c r="C197" s="23"/>
      <c r="D197" s="24"/>
      <c r="E197" s="25" t="str">
        <f>IF(C197="","",IFERROR(LOOKUP(2,1/(Precios!$B$5:$B$2004=C197),Precios!$C$5:$C$2004),0))</f>
        <v/>
      </c>
      <c r="F197" s="25" t="str">
        <f t="shared" si="23"/>
        <v/>
      </c>
      <c r="G197" s="26" t="str">
        <f>IF(C197="","",IFERROR(LOOKUP(2,1/(Precios!$B$5:$B$2004=C197),Precios!$C$5:$C$2004),0))</f>
        <v/>
      </c>
      <c r="H197" s="26" t="str">
        <f t="shared" ref="H197:H228" si="24">IF(D197="","",D197*G197)</f>
        <v/>
      </c>
      <c r="I197" s="26" t="str">
        <f t="shared" ref="I197:I228" si="25">IF(OR(H197="",F197=""),"",H197-F197)</f>
        <v/>
      </c>
      <c r="J197" s="27">
        <f t="shared" ref="J197:J228" si="26">IFERROR(I197/F197,0)</f>
        <v>0</v>
      </c>
      <c r="K197" s="26">
        <v>0</v>
      </c>
      <c r="L197" s="23"/>
    </row>
    <row r="198" spans="1:12" x14ac:dyDescent="0.3">
      <c r="A198" s="22"/>
      <c r="B198" s="23"/>
      <c r="C198" s="23"/>
      <c r="D198" s="24"/>
      <c r="E198" s="25" t="str">
        <f>IF(C198="","",IFERROR(LOOKUP(2,1/(Precios!$B$5:$B$2004=C198),Precios!$C$5:$C$2004),0))</f>
        <v/>
      </c>
      <c r="F198" s="25" t="str">
        <f t="shared" ref="F198:F229" si="27">IF(D198="","",D198*E198)</f>
        <v/>
      </c>
      <c r="G198" s="26" t="str">
        <f>IF(C198="","",IFERROR(LOOKUP(2,1/(Precios!$B$5:$B$2004=C198),Precios!$C$5:$C$2004),0))</f>
        <v/>
      </c>
      <c r="H198" s="26" t="str">
        <f t="shared" si="24"/>
        <v/>
      </c>
      <c r="I198" s="26" t="str">
        <f t="shared" si="25"/>
        <v/>
      </c>
      <c r="J198" s="27">
        <f t="shared" si="26"/>
        <v>0</v>
      </c>
      <c r="K198" s="26">
        <v>0</v>
      </c>
      <c r="L198" s="23"/>
    </row>
    <row r="199" spans="1:12" x14ac:dyDescent="0.3">
      <c r="A199" s="22"/>
      <c r="B199" s="23"/>
      <c r="C199" s="23"/>
      <c r="D199" s="24"/>
      <c r="E199" s="25" t="str">
        <f>IF(C199="","",IFERROR(LOOKUP(2,1/(Precios!$B$5:$B$2004=C199),Precios!$C$5:$C$2004),0))</f>
        <v/>
      </c>
      <c r="F199" s="25" t="str">
        <f t="shared" si="27"/>
        <v/>
      </c>
      <c r="G199" s="26" t="str">
        <f>IF(C199="","",IFERROR(LOOKUP(2,1/(Precios!$B$5:$B$2004=C199),Precios!$C$5:$C$2004),0))</f>
        <v/>
      </c>
      <c r="H199" s="26" t="str">
        <f t="shared" si="24"/>
        <v/>
      </c>
      <c r="I199" s="26" t="str">
        <f t="shared" si="25"/>
        <v/>
      </c>
      <c r="J199" s="27">
        <f t="shared" si="26"/>
        <v>0</v>
      </c>
      <c r="K199" s="26">
        <v>0</v>
      </c>
      <c r="L199" s="23"/>
    </row>
    <row r="200" spans="1:12" x14ac:dyDescent="0.3">
      <c r="A200" s="22"/>
      <c r="B200" s="23"/>
      <c r="C200" s="23"/>
      <c r="D200" s="24"/>
      <c r="E200" s="25" t="str">
        <f>IF(C200="","",IFERROR(LOOKUP(2,1/(Precios!$B$5:$B$2004=C200),Precios!$C$5:$C$2004),0))</f>
        <v/>
      </c>
      <c r="F200" s="25" t="str">
        <f t="shared" si="27"/>
        <v/>
      </c>
      <c r="G200" s="26" t="str">
        <f>IF(C200="","",IFERROR(LOOKUP(2,1/(Precios!$B$5:$B$2004=C200),Precios!$C$5:$C$2004),0))</f>
        <v/>
      </c>
      <c r="H200" s="26" t="str">
        <f t="shared" si="24"/>
        <v/>
      </c>
      <c r="I200" s="26" t="str">
        <f t="shared" si="25"/>
        <v/>
      </c>
      <c r="J200" s="27">
        <f t="shared" si="26"/>
        <v>0</v>
      </c>
      <c r="K200" s="26">
        <v>0</v>
      </c>
      <c r="L200" s="23"/>
    </row>
    <row r="201" spans="1:12" x14ac:dyDescent="0.3">
      <c r="A201" s="22"/>
      <c r="B201" s="23"/>
      <c r="C201" s="23"/>
      <c r="D201" s="24"/>
      <c r="E201" s="25" t="str">
        <f>IF(C201="","",IFERROR(LOOKUP(2,1/(Precios!$B$5:$B$2004=C201),Precios!$C$5:$C$2004),0))</f>
        <v/>
      </c>
      <c r="F201" s="25" t="str">
        <f t="shared" si="27"/>
        <v/>
      </c>
      <c r="G201" s="26" t="str">
        <f>IF(C201="","",IFERROR(LOOKUP(2,1/(Precios!$B$5:$B$2004=C201),Precios!$C$5:$C$2004),0))</f>
        <v/>
      </c>
      <c r="H201" s="26" t="str">
        <f t="shared" si="24"/>
        <v/>
      </c>
      <c r="I201" s="26" t="str">
        <f t="shared" si="25"/>
        <v/>
      </c>
      <c r="J201" s="27">
        <f t="shared" si="26"/>
        <v>0</v>
      </c>
      <c r="K201" s="26">
        <v>0</v>
      </c>
      <c r="L201" s="23"/>
    </row>
    <row r="202" spans="1:12" x14ac:dyDescent="0.3">
      <c r="A202" s="22"/>
      <c r="B202" s="23"/>
      <c r="C202" s="23"/>
      <c r="D202" s="24"/>
      <c r="E202" s="25" t="str">
        <f>IF(C202="","",IFERROR(LOOKUP(2,1/(Precios!$B$5:$B$2004=C202),Precios!$C$5:$C$2004),0))</f>
        <v/>
      </c>
      <c r="F202" s="25" t="str">
        <f t="shared" si="27"/>
        <v/>
      </c>
      <c r="G202" s="26" t="str">
        <f>IF(C202="","",IFERROR(LOOKUP(2,1/(Precios!$B$5:$B$2004=C202),Precios!$C$5:$C$2004),0))</f>
        <v/>
      </c>
      <c r="H202" s="26" t="str">
        <f t="shared" si="24"/>
        <v/>
      </c>
      <c r="I202" s="26" t="str">
        <f t="shared" si="25"/>
        <v/>
      </c>
      <c r="J202" s="27">
        <f t="shared" si="26"/>
        <v>0</v>
      </c>
      <c r="K202" s="26">
        <v>0</v>
      </c>
      <c r="L202" s="23"/>
    </row>
    <row r="203" spans="1:12" x14ac:dyDescent="0.3">
      <c r="A203" s="22"/>
      <c r="B203" s="23"/>
      <c r="C203" s="23"/>
      <c r="D203" s="24"/>
      <c r="E203" s="25" t="str">
        <f>IF(C203="","",IFERROR(LOOKUP(2,1/(Precios!$B$5:$B$2004=C203),Precios!$C$5:$C$2004),0))</f>
        <v/>
      </c>
      <c r="F203" s="25" t="str">
        <f t="shared" si="27"/>
        <v/>
      </c>
      <c r="G203" s="26" t="str">
        <f>IF(C203="","",IFERROR(LOOKUP(2,1/(Precios!$B$5:$B$2004=C203),Precios!$C$5:$C$2004),0))</f>
        <v/>
      </c>
      <c r="H203" s="26" t="str">
        <f t="shared" si="24"/>
        <v/>
      </c>
      <c r="I203" s="26" t="str">
        <f t="shared" si="25"/>
        <v/>
      </c>
      <c r="J203" s="27">
        <f t="shared" si="26"/>
        <v>0</v>
      </c>
      <c r="K203" s="26">
        <v>0</v>
      </c>
      <c r="L203" s="23"/>
    </row>
    <row r="204" spans="1:12" x14ac:dyDescent="0.3">
      <c r="A204" s="22"/>
      <c r="B204" s="23"/>
      <c r="C204" s="23"/>
      <c r="D204" s="24"/>
      <c r="E204" s="25" t="str">
        <f>IF(C204="","",IFERROR(LOOKUP(2,1/(Precios!$B$5:$B$2004=C204),Precios!$C$5:$C$2004),0))</f>
        <v/>
      </c>
      <c r="F204" s="25" t="str">
        <f t="shared" si="27"/>
        <v/>
      </c>
      <c r="G204" s="26" t="str">
        <f>IF(C204="","",IFERROR(LOOKUP(2,1/(Precios!$B$5:$B$2004=C204),Precios!$C$5:$C$2004),0))</f>
        <v/>
      </c>
      <c r="H204" s="26" t="str">
        <f t="shared" si="24"/>
        <v/>
      </c>
      <c r="I204" s="26" t="str">
        <f t="shared" si="25"/>
        <v/>
      </c>
      <c r="J204" s="27">
        <f t="shared" si="26"/>
        <v>0</v>
      </c>
      <c r="K204" s="26">
        <v>0</v>
      </c>
      <c r="L204" s="23"/>
    </row>
  </sheetData>
  <autoFilter ref="A4:L204" xr:uid="{00000000-0009-0000-0000-000005000000}"/>
  <mergeCells count="2">
    <mergeCell ref="A2:L2"/>
    <mergeCell ref="A1:L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Activo no válido" error="Selecciona un activo registrado en la hoja Activos." promptTitle="Activo" prompt="Selecciona un ticker del catálogo de Activos." xr:uid="{00000000-0002-0000-0500-000000000000}">
          <x14:formula1>
            <xm:f>Activos!$A$5:$A$104</xm:f>
          </x14:formula1>
          <xm:sqref>C5:C204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4"/>
  <sheetViews>
    <sheetView showGridLines="0" workbookViewId="0">
      <pane ySplit="4" topLeftCell="A5" activePane="bottomLeft" state="frozen"/>
      <selection pane="bottomLeft" activeCell="G7" sqref="G7"/>
    </sheetView>
  </sheetViews>
  <sheetFormatPr baseColWidth="10" defaultColWidth="8.88671875" defaultRowHeight="14.4" x14ac:dyDescent="0.3"/>
  <cols>
    <col min="1" max="1" width="14" style="12" customWidth="1"/>
    <col min="2" max="2" width="12" style="12" customWidth="1"/>
    <col min="3" max="3" width="20" style="12" customWidth="1"/>
    <col min="4" max="4" width="22" style="12" customWidth="1"/>
    <col min="5" max="6" width="18" style="12" customWidth="1"/>
    <col min="7" max="7" width="14" style="12" customWidth="1"/>
    <col min="8" max="8" width="24" style="12" customWidth="1"/>
    <col min="9" max="9" width="34" style="12" customWidth="1"/>
  </cols>
  <sheetData>
    <row r="1" spans="1:9" ht="25.05" customHeight="1" x14ac:dyDescent="0.3">
      <c r="A1" s="34" t="s">
        <v>214</v>
      </c>
      <c r="B1" s="32"/>
      <c r="C1" s="32"/>
      <c r="D1" s="32"/>
      <c r="E1" s="32"/>
      <c r="F1" s="32"/>
      <c r="G1" s="32"/>
      <c r="H1" s="32"/>
      <c r="I1" s="32"/>
    </row>
    <row r="2" spans="1:9" ht="34.049999999999997" customHeight="1" x14ac:dyDescent="0.3">
      <c r="A2" s="31" t="s">
        <v>215</v>
      </c>
      <c r="B2" s="32"/>
      <c r="C2" s="32"/>
      <c r="D2" s="32"/>
      <c r="E2" s="32"/>
      <c r="F2" s="32"/>
      <c r="G2" s="32"/>
      <c r="H2" s="32"/>
      <c r="I2" s="32"/>
    </row>
    <row r="4" spans="1:9" ht="34.049999999999997" customHeight="1" x14ac:dyDescent="0.3">
      <c r="A4" s="1" t="s">
        <v>178</v>
      </c>
      <c r="B4" s="1" t="s">
        <v>189</v>
      </c>
      <c r="C4" s="1" t="s">
        <v>216</v>
      </c>
      <c r="D4" s="1" t="s">
        <v>217</v>
      </c>
      <c r="E4" s="1" t="s">
        <v>218</v>
      </c>
      <c r="F4" s="1" t="s">
        <v>219</v>
      </c>
      <c r="G4" s="1" t="s">
        <v>220</v>
      </c>
      <c r="H4" s="1" t="s">
        <v>221</v>
      </c>
      <c r="I4" s="1" t="s">
        <v>126</v>
      </c>
    </row>
    <row r="5" spans="1:9" x14ac:dyDescent="0.3">
      <c r="A5" s="9"/>
      <c r="B5" s="8"/>
      <c r="C5" s="17"/>
      <c r="D5" s="17"/>
      <c r="E5" s="17"/>
      <c r="F5" s="18" t="str">
        <f t="shared" ref="F5:F36" si="0">IF(C5="","",C5-IF(D5="",0,D5)-IF(E5="",0,E5))</f>
        <v/>
      </c>
      <c r="G5" s="8"/>
      <c r="H5" s="8"/>
      <c r="I5" s="8"/>
    </row>
    <row r="6" spans="1:9" x14ac:dyDescent="0.3">
      <c r="A6" s="9"/>
      <c r="B6" s="8"/>
      <c r="C6" s="17"/>
      <c r="D6" s="17"/>
      <c r="E6" s="17"/>
      <c r="F6" s="18" t="str">
        <f t="shared" si="0"/>
        <v/>
      </c>
      <c r="G6" s="8"/>
      <c r="H6" s="8"/>
      <c r="I6" s="8"/>
    </row>
    <row r="7" spans="1:9" x14ac:dyDescent="0.3">
      <c r="A7" s="9"/>
      <c r="B7" s="8"/>
      <c r="C7" s="17"/>
      <c r="D7" s="17"/>
      <c r="E7" s="17"/>
      <c r="F7" s="18" t="str">
        <f t="shared" si="0"/>
        <v/>
      </c>
      <c r="G7" s="8"/>
      <c r="H7" s="8"/>
      <c r="I7" s="8"/>
    </row>
    <row r="8" spans="1:9" x14ac:dyDescent="0.3">
      <c r="A8" s="9"/>
      <c r="B8" s="8"/>
      <c r="C8" s="17"/>
      <c r="D8" s="17"/>
      <c r="E8" s="17"/>
      <c r="F8" s="18" t="str">
        <f t="shared" si="0"/>
        <v/>
      </c>
      <c r="G8" s="8"/>
      <c r="H8" s="8"/>
      <c r="I8" s="8"/>
    </row>
    <row r="9" spans="1:9" x14ac:dyDescent="0.3">
      <c r="A9" s="9"/>
      <c r="B9" s="8"/>
      <c r="C9" s="17"/>
      <c r="D9" s="17"/>
      <c r="E9" s="17"/>
      <c r="F9" s="18" t="str">
        <f t="shared" si="0"/>
        <v/>
      </c>
      <c r="G9" s="8"/>
      <c r="H9" s="8"/>
      <c r="I9" s="8"/>
    </row>
    <row r="10" spans="1:9" x14ac:dyDescent="0.3">
      <c r="A10" s="9"/>
      <c r="B10" s="8"/>
      <c r="C10" s="17"/>
      <c r="D10" s="17"/>
      <c r="E10" s="17"/>
      <c r="F10" s="18" t="str">
        <f t="shared" si="0"/>
        <v/>
      </c>
      <c r="G10" s="8"/>
      <c r="H10" s="8"/>
      <c r="I10" s="8"/>
    </row>
    <row r="11" spans="1:9" x14ac:dyDescent="0.3">
      <c r="A11" s="9"/>
      <c r="B11" s="8"/>
      <c r="C11" s="17"/>
      <c r="D11" s="17"/>
      <c r="E11" s="17"/>
      <c r="F11" s="18" t="str">
        <f t="shared" si="0"/>
        <v/>
      </c>
      <c r="G11" s="8"/>
      <c r="H11" s="8"/>
      <c r="I11" s="8"/>
    </row>
    <row r="12" spans="1:9" x14ac:dyDescent="0.3">
      <c r="A12" s="9"/>
      <c r="B12" s="8"/>
      <c r="C12" s="17"/>
      <c r="D12" s="17"/>
      <c r="E12" s="17"/>
      <c r="F12" s="18" t="str">
        <f t="shared" si="0"/>
        <v/>
      </c>
      <c r="G12" s="8"/>
      <c r="H12" s="8"/>
      <c r="I12" s="8"/>
    </row>
    <row r="13" spans="1:9" x14ac:dyDescent="0.3">
      <c r="A13" s="9"/>
      <c r="B13" s="8"/>
      <c r="C13" s="17"/>
      <c r="D13" s="17"/>
      <c r="E13" s="17"/>
      <c r="F13" s="18" t="str">
        <f t="shared" si="0"/>
        <v/>
      </c>
      <c r="G13" s="8"/>
      <c r="H13" s="8"/>
      <c r="I13" s="8"/>
    </row>
    <row r="14" spans="1:9" x14ac:dyDescent="0.3">
      <c r="A14" s="9"/>
      <c r="B14" s="8"/>
      <c r="C14" s="17"/>
      <c r="D14" s="17"/>
      <c r="E14" s="17"/>
      <c r="F14" s="18" t="str">
        <f t="shared" si="0"/>
        <v/>
      </c>
      <c r="G14" s="8"/>
      <c r="H14" s="8"/>
      <c r="I14" s="8"/>
    </row>
    <row r="15" spans="1:9" x14ac:dyDescent="0.3">
      <c r="A15" s="9"/>
      <c r="B15" s="8"/>
      <c r="C15" s="17"/>
      <c r="D15" s="17"/>
      <c r="E15" s="17"/>
      <c r="F15" s="18" t="str">
        <f t="shared" si="0"/>
        <v/>
      </c>
      <c r="G15" s="8"/>
      <c r="H15" s="8"/>
      <c r="I15" s="8"/>
    </row>
    <row r="16" spans="1:9" x14ac:dyDescent="0.3">
      <c r="A16" s="9"/>
      <c r="B16" s="8"/>
      <c r="C16" s="17"/>
      <c r="D16" s="17"/>
      <c r="E16" s="17"/>
      <c r="F16" s="18" t="str">
        <f t="shared" si="0"/>
        <v/>
      </c>
      <c r="G16" s="8"/>
      <c r="H16" s="8"/>
      <c r="I16" s="8"/>
    </row>
    <row r="17" spans="1:9" x14ac:dyDescent="0.3">
      <c r="A17" s="9"/>
      <c r="B17" s="8"/>
      <c r="C17" s="17"/>
      <c r="D17" s="17"/>
      <c r="E17" s="17"/>
      <c r="F17" s="18" t="str">
        <f t="shared" si="0"/>
        <v/>
      </c>
      <c r="G17" s="8"/>
      <c r="H17" s="8"/>
      <c r="I17" s="8"/>
    </row>
    <row r="18" spans="1:9" x14ac:dyDescent="0.3">
      <c r="A18" s="9"/>
      <c r="B18" s="8"/>
      <c r="C18" s="17"/>
      <c r="D18" s="17"/>
      <c r="E18" s="17"/>
      <c r="F18" s="18" t="str">
        <f t="shared" si="0"/>
        <v/>
      </c>
      <c r="G18" s="8"/>
      <c r="H18" s="8"/>
      <c r="I18" s="8"/>
    </row>
    <row r="19" spans="1:9" x14ac:dyDescent="0.3">
      <c r="A19" s="9"/>
      <c r="B19" s="8"/>
      <c r="C19" s="17"/>
      <c r="D19" s="17"/>
      <c r="E19" s="17"/>
      <c r="F19" s="18" t="str">
        <f t="shared" si="0"/>
        <v/>
      </c>
      <c r="G19" s="8"/>
      <c r="H19" s="8"/>
      <c r="I19" s="8"/>
    </row>
    <row r="20" spans="1:9" x14ac:dyDescent="0.3">
      <c r="A20" s="9"/>
      <c r="B20" s="8"/>
      <c r="C20" s="17"/>
      <c r="D20" s="17"/>
      <c r="E20" s="17"/>
      <c r="F20" s="18" t="str">
        <f t="shared" si="0"/>
        <v/>
      </c>
      <c r="G20" s="8"/>
      <c r="H20" s="8"/>
      <c r="I20" s="8"/>
    </row>
    <row r="21" spans="1:9" x14ac:dyDescent="0.3">
      <c r="A21" s="9"/>
      <c r="B21" s="8"/>
      <c r="C21" s="17"/>
      <c r="D21" s="17"/>
      <c r="E21" s="17"/>
      <c r="F21" s="18" t="str">
        <f t="shared" si="0"/>
        <v/>
      </c>
      <c r="G21" s="8"/>
      <c r="H21" s="8"/>
      <c r="I21" s="8"/>
    </row>
    <row r="22" spans="1:9" x14ac:dyDescent="0.3">
      <c r="A22" s="9"/>
      <c r="B22" s="8"/>
      <c r="C22" s="17"/>
      <c r="D22" s="17"/>
      <c r="E22" s="17"/>
      <c r="F22" s="18" t="str">
        <f t="shared" si="0"/>
        <v/>
      </c>
      <c r="G22" s="8"/>
      <c r="H22" s="8"/>
      <c r="I22" s="8"/>
    </row>
    <row r="23" spans="1:9" x14ac:dyDescent="0.3">
      <c r="A23" s="9"/>
      <c r="B23" s="8"/>
      <c r="C23" s="17"/>
      <c r="D23" s="17"/>
      <c r="E23" s="17"/>
      <c r="F23" s="18" t="str">
        <f t="shared" si="0"/>
        <v/>
      </c>
      <c r="G23" s="8"/>
      <c r="H23" s="8"/>
      <c r="I23" s="8"/>
    </row>
    <row r="24" spans="1:9" x14ac:dyDescent="0.3">
      <c r="A24" s="9"/>
      <c r="B24" s="8"/>
      <c r="C24" s="17"/>
      <c r="D24" s="17"/>
      <c r="E24" s="17"/>
      <c r="F24" s="18" t="str">
        <f t="shared" si="0"/>
        <v/>
      </c>
      <c r="G24" s="8"/>
      <c r="H24" s="8"/>
      <c r="I24" s="8"/>
    </row>
    <row r="25" spans="1:9" x14ac:dyDescent="0.3">
      <c r="A25" s="9"/>
      <c r="B25" s="8"/>
      <c r="C25" s="17"/>
      <c r="D25" s="17"/>
      <c r="E25" s="17"/>
      <c r="F25" s="18" t="str">
        <f t="shared" si="0"/>
        <v/>
      </c>
      <c r="G25" s="8"/>
      <c r="H25" s="8"/>
      <c r="I25" s="8"/>
    </row>
    <row r="26" spans="1:9" x14ac:dyDescent="0.3">
      <c r="A26" s="9"/>
      <c r="B26" s="8"/>
      <c r="C26" s="17"/>
      <c r="D26" s="17"/>
      <c r="E26" s="17"/>
      <c r="F26" s="18" t="str">
        <f t="shared" si="0"/>
        <v/>
      </c>
      <c r="G26" s="8"/>
      <c r="H26" s="8"/>
      <c r="I26" s="8"/>
    </row>
    <row r="27" spans="1:9" x14ac:dyDescent="0.3">
      <c r="A27" s="9"/>
      <c r="B27" s="8"/>
      <c r="C27" s="17"/>
      <c r="D27" s="17"/>
      <c r="E27" s="17"/>
      <c r="F27" s="18" t="str">
        <f t="shared" si="0"/>
        <v/>
      </c>
      <c r="G27" s="8"/>
      <c r="H27" s="8"/>
      <c r="I27" s="8"/>
    </row>
    <row r="28" spans="1:9" x14ac:dyDescent="0.3">
      <c r="A28" s="9"/>
      <c r="B28" s="8"/>
      <c r="C28" s="17"/>
      <c r="D28" s="17"/>
      <c r="E28" s="17"/>
      <c r="F28" s="18" t="str">
        <f t="shared" si="0"/>
        <v/>
      </c>
      <c r="G28" s="8"/>
      <c r="H28" s="8"/>
      <c r="I28" s="8"/>
    </row>
    <row r="29" spans="1:9" x14ac:dyDescent="0.3">
      <c r="A29" s="9"/>
      <c r="B29" s="8"/>
      <c r="C29" s="17"/>
      <c r="D29" s="17"/>
      <c r="E29" s="17"/>
      <c r="F29" s="18" t="str">
        <f t="shared" si="0"/>
        <v/>
      </c>
      <c r="G29" s="8"/>
      <c r="H29" s="8"/>
      <c r="I29" s="8"/>
    </row>
    <row r="30" spans="1:9" x14ac:dyDescent="0.3">
      <c r="A30" s="9"/>
      <c r="B30" s="8"/>
      <c r="C30" s="17"/>
      <c r="D30" s="17"/>
      <c r="E30" s="17"/>
      <c r="F30" s="18" t="str">
        <f t="shared" si="0"/>
        <v/>
      </c>
      <c r="G30" s="8"/>
      <c r="H30" s="8"/>
      <c r="I30" s="8"/>
    </row>
    <row r="31" spans="1:9" x14ac:dyDescent="0.3">
      <c r="A31" s="9"/>
      <c r="B31" s="8"/>
      <c r="C31" s="17"/>
      <c r="D31" s="17"/>
      <c r="E31" s="17"/>
      <c r="F31" s="18" t="str">
        <f t="shared" si="0"/>
        <v/>
      </c>
      <c r="G31" s="8"/>
      <c r="H31" s="8"/>
      <c r="I31" s="8"/>
    </row>
    <row r="32" spans="1:9" x14ac:dyDescent="0.3">
      <c r="A32" s="9"/>
      <c r="B32" s="8"/>
      <c r="C32" s="17"/>
      <c r="D32" s="17"/>
      <c r="E32" s="17"/>
      <c r="F32" s="18" t="str">
        <f t="shared" si="0"/>
        <v/>
      </c>
      <c r="G32" s="8"/>
      <c r="H32" s="8"/>
      <c r="I32" s="8"/>
    </row>
    <row r="33" spans="1:9" x14ac:dyDescent="0.3">
      <c r="A33" s="9"/>
      <c r="B33" s="8"/>
      <c r="C33" s="17"/>
      <c r="D33" s="17"/>
      <c r="E33" s="17"/>
      <c r="F33" s="18" t="str">
        <f t="shared" si="0"/>
        <v/>
      </c>
      <c r="G33" s="8"/>
      <c r="H33" s="8"/>
      <c r="I33" s="8"/>
    </row>
    <row r="34" spans="1:9" x14ac:dyDescent="0.3">
      <c r="A34" s="9"/>
      <c r="B34" s="8"/>
      <c r="C34" s="17"/>
      <c r="D34" s="17"/>
      <c r="E34" s="17"/>
      <c r="F34" s="18" t="str">
        <f t="shared" si="0"/>
        <v/>
      </c>
      <c r="G34" s="8"/>
      <c r="H34" s="8"/>
      <c r="I34" s="8"/>
    </row>
    <row r="35" spans="1:9" x14ac:dyDescent="0.3">
      <c r="A35" s="9"/>
      <c r="B35" s="8"/>
      <c r="C35" s="17"/>
      <c r="D35" s="17"/>
      <c r="E35" s="17"/>
      <c r="F35" s="18" t="str">
        <f t="shared" si="0"/>
        <v/>
      </c>
      <c r="G35" s="8"/>
      <c r="H35" s="8"/>
      <c r="I35" s="8"/>
    </row>
    <row r="36" spans="1:9" x14ac:dyDescent="0.3">
      <c r="A36" s="9"/>
      <c r="B36" s="8"/>
      <c r="C36" s="17"/>
      <c r="D36" s="17"/>
      <c r="E36" s="17"/>
      <c r="F36" s="18" t="str">
        <f t="shared" si="0"/>
        <v/>
      </c>
      <c r="G36" s="8"/>
      <c r="H36" s="8"/>
      <c r="I36" s="8"/>
    </row>
    <row r="37" spans="1:9" x14ac:dyDescent="0.3">
      <c r="A37" s="9"/>
      <c r="B37" s="8"/>
      <c r="C37" s="17"/>
      <c r="D37" s="17"/>
      <c r="E37" s="17"/>
      <c r="F37" s="18" t="str">
        <f t="shared" ref="F37:F68" si="1">IF(C37="","",C37-IF(D37="",0,D37)-IF(E37="",0,E37))</f>
        <v/>
      </c>
      <c r="G37" s="8"/>
      <c r="H37" s="8"/>
      <c r="I37" s="8"/>
    </row>
    <row r="38" spans="1:9" x14ac:dyDescent="0.3">
      <c r="A38" s="9"/>
      <c r="B38" s="8"/>
      <c r="C38" s="17"/>
      <c r="D38" s="17"/>
      <c r="E38" s="17"/>
      <c r="F38" s="18" t="str">
        <f t="shared" si="1"/>
        <v/>
      </c>
      <c r="G38" s="8"/>
      <c r="H38" s="8"/>
      <c r="I38" s="8"/>
    </row>
    <row r="39" spans="1:9" x14ac:dyDescent="0.3">
      <c r="A39" s="9"/>
      <c r="B39" s="8"/>
      <c r="C39" s="17"/>
      <c r="D39" s="17"/>
      <c r="E39" s="17"/>
      <c r="F39" s="18" t="str">
        <f t="shared" si="1"/>
        <v/>
      </c>
      <c r="G39" s="8"/>
      <c r="H39" s="8"/>
      <c r="I39" s="8"/>
    </row>
    <row r="40" spans="1:9" x14ac:dyDescent="0.3">
      <c r="A40" s="9"/>
      <c r="B40" s="8"/>
      <c r="C40" s="17"/>
      <c r="D40" s="17"/>
      <c r="E40" s="17"/>
      <c r="F40" s="18" t="str">
        <f t="shared" si="1"/>
        <v/>
      </c>
      <c r="G40" s="8"/>
      <c r="H40" s="8"/>
      <c r="I40" s="8"/>
    </row>
    <row r="41" spans="1:9" x14ac:dyDescent="0.3">
      <c r="A41" s="9"/>
      <c r="B41" s="8"/>
      <c r="C41" s="17"/>
      <c r="D41" s="17"/>
      <c r="E41" s="17"/>
      <c r="F41" s="18" t="str">
        <f t="shared" si="1"/>
        <v/>
      </c>
      <c r="G41" s="8"/>
      <c r="H41" s="8"/>
      <c r="I41" s="8"/>
    </row>
    <row r="42" spans="1:9" x14ac:dyDescent="0.3">
      <c r="A42" s="9"/>
      <c r="B42" s="8"/>
      <c r="C42" s="17"/>
      <c r="D42" s="17"/>
      <c r="E42" s="17"/>
      <c r="F42" s="18" t="str">
        <f t="shared" si="1"/>
        <v/>
      </c>
      <c r="G42" s="8"/>
      <c r="H42" s="8"/>
      <c r="I42" s="8"/>
    </row>
    <row r="43" spans="1:9" x14ac:dyDescent="0.3">
      <c r="A43" s="9"/>
      <c r="B43" s="8"/>
      <c r="C43" s="17"/>
      <c r="D43" s="17"/>
      <c r="E43" s="17"/>
      <c r="F43" s="18" t="str">
        <f t="shared" si="1"/>
        <v/>
      </c>
      <c r="G43" s="8"/>
      <c r="H43" s="8"/>
      <c r="I43" s="8"/>
    </row>
    <row r="44" spans="1:9" x14ac:dyDescent="0.3">
      <c r="A44" s="9"/>
      <c r="B44" s="8"/>
      <c r="C44" s="17"/>
      <c r="D44" s="17"/>
      <c r="E44" s="17"/>
      <c r="F44" s="18" t="str">
        <f t="shared" si="1"/>
        <v/>
      </c>
      <c r="G44" s="8"/>
      <c r="H44" s="8"/>
      <c r="I44" s="8"/>
    </row>
    <row r="45" spans="1:9" x14ac:dyDescent="0.3">
      <c r="A45" s="9"/>
      <c r="B45" s="8"/>
      <c r="C45" s="17"/>
      <c r="D45" s="17"/>
      <c r="E45" s="17"/>
      <c r="F45" s="18" t="str">
        <f t="shared" si="1"/>
        <v/>
      </c>
      <c r="G45" s="8"/>
      <c r="H45" s="8"/>
      <c r="I45" s="8"/>
    </row>
    <row r="46" spans="1:9" x14ac:dyDescent="0.3">
      <c r="A46" s="9"/>
      <c r="B46" s="8"/>
      <c r="C46" s="17"/>
      <c r="D46" s="17"/>
      <c r="E46" s="17"/>
      <c r="F46" s="18" t="str">
        <f t="shared" si="1"/>
        <v/>
      </c>
      <c r="G46" s="8"/>
      <c r="H46" s="8"/>
      <c r="I46" s="8"/>
    </row>
    <row r="47" spans="1:9" x14ac:dyDescent="0.3">
      <c r="A47" s="9"/>
      <c r="B47" s="8"/>
      <c r="C47" s="17"/>
      <c r="D47" s="17"/>
      <c r="E47" s="17"/>
      <c r="F47" s="18" t="str">
        <f t="shared" si="1"/>
        <v/>
      </c>
      <c r="G47" s="8"/>
      <c r="H47" s="8"/>
      <c r="I47" s="8"/>
    </row>
    <row r="48" spans="1:9" x14ac:dyDescent="0.3">
      <c r="A48" s="9"/>
      <c r="B48" s="8"/>
      <c r="C48" s="17"/>
      <c r="D48" s="17"/>
      <c r="E48" s="17"/>
      <c r="F48" s="18" t="str">
        <f t="shared" si="1"/>
        <v/>
      </c>
      <c r="G48" s="8"/>
      <c r="H48" s="8"/>
      <c r="I48" s="8"/>
    </row>
    <row r="49" spans="1:9" x14ac:dyDescent="0.3">
      <c r="A49" s="9"/>
      <c r="B49" s="8"/>
      <c r="C49" s="17"/>
      <c r="D49" s="17"/>
      <c r="E49" s="17"/>
      <c r="F49" s="18" t="str">
        <f t="shared" si="1"/>
        <v/>
      </c>
      <c r="G49" s="8"/>
      <c r="H49" s="8"/>
      <c r="I49" s="8"/>
    </row>
    <row r="50" spans="1:9" x14ac:dyDescent="0.3">
      <c r="A50" s="9"/>
      <c r="B50" s="8"/>
      <c r="C50" s="17"/>
      <c r="D50" s="17"/>
      <c r="E50" s="17"/>
      <c r="F50" s="18" t="str">
        <f t="shared" si="1"/>
        <v/>
      </c>
      <c r="G50" s="8"/>
      <c r="H50" s="8"/>
      <c r="I50" s="8"/>
    </row>
    <row r="51" spans="1:9" x14ac:dyDescent="0.3">
      <c r="A51" s="9"/>
      <c r="B51" s="8"/>
      <c r="C51" s="17"/>
      <c r="D51" s="17"/>
      <c r="E51" s="17"/>
      <c r="F51" s="18" t="str">
        <f t="shared" si="1"/>
        <v/>
      </c>
      <c r="G51" s="8"/>
      <c r="H51" s="8"/>
      <c r="I51" s="8"/>
    </row>
    <row r="52" spans="1:9" x14ac:dyDescent="0.3">
      <c r="A52" s="9"/>
      <c r="B52" s="8"/>
      <c r="C52" s="17"/>
      <c r="D52" s="17"/>
      <c r="E52" s="17"/>
      <c r="F52" s="18" t="str">
        <f t="shared" si="1"/>
        <v/>
      </c>
      <c r="G52" s="8"/>
      <c r="H52" s="8"/>
      <c r="I52" s="8"/>
    </row>
    <row r="53" spans="1:9" x14ac:dyDescent="0.3">
      <c r="A53" s="9"/>
      <c r="B53" s="8"/>
      <c r="C53" s="17"/>
      <c r="D53" s="17"/>
      <c r="E53" s="17"/>
      <c r="F53" s="18" t="str">
        <f t="shared" si="1"/>
        <v/>
      </c>
      <c r="G53" s="8"/>
      <c r="H53" s="8"/>
      <c r="I53" s="8"/>
    </row>
    <row r="54" spans="1:9" x14ac:dyDescent="0.3">
      <c r="A54" s="9"/>
      <c r="B54" s="8"/>
      <c r="C54" s="17"/>
      <c r="D54" s="17"/>
      <c r="E54" s="17"/>
      <c r="F54" s="18" t="str">
        <f t="shared" si="1"/>
        <v/>
      </c>
      <c r="G54" s="8"/>
      <c r="H54" s="8"/>
      <c r="I54" s="8"/>
    </row>
    <row r="55" spans="1:9" x14ac:dyDescent="0.3">
      <c r="A55" s="9"/>
      <c r="B55" s="8"/>
      <c r="C55" s="17"/>
      <c r="D55" s="17"/>
      <c r="E55" s="17"/>
      <c r="F55" s="18" t="str">
        <f t="shared" si="1"/>
        <v/>
      </c>
      <c r="G55" s="8"/>
      <c r="H55" s="8"/>
      <c r="I55" s="8"/>
    </row>
    <row r="56" spans="1:9" x14ac:dyDescent="0.3">
      <c r="A56" s="9"/>
      <c r="B56" s="8"/>
      <c r="C56" s="17"/>
      <c r="D56" s="17"/>
      <c r="E56" s="17"/>
      <c r="F56" s="18" t="str">
        <f t="shared" si="1"/>
        <v/>
      </c>
      <c r="G56" s="8"/>
      <c r="H56" s="8"/>
      <c r="I56" s="8"/>
    </row>
    <row r="57" spans="1:9" x14ac:dyDescent="0.3">
      <c r="A57" s="9"/>
      <c r="B57" s="8"/>
      <c r="C57" s="17"/>
      <c r="D57" s="17"/>
      <c r="E57" s="17"/>
      <c r="F57" s="18" t="str">
        <f t="shared" si="1"/>
        <v/>
      </c>
      <c r="G57" s="8"/>
      <c r="H57" s="8"/>
      <c r="I57" s="8"/>
    </row>
    <row r="58" spans="1:9" x14ac:dyDescent="0.3">
      <c r="A58" s="9"/>
      <c r="B58" s="8"/>
      <c r="C58" s="17"/>
      <c r="D58" s="17"/>
      <c r="E58" s="17"/>
      <c r="F58" s="18" t="str">
        <f t="shared" si="1"/>
        <v/>
      </c>
      <c r="G58" s="8"/>
      <c r="H58" s="8"/>
      <c r="I58" s="8"/>
    </row>
    <row r="59" spans="1:9" x14ac:dyDescent="0.3">
      <c r="A59" s="9"/>
      <c r="B59" s="8"/>
      <c r="C59" s="17"/>
      <c r="D59" s="17"/>
      <c r="E59" s="17"/>
      <c r="F59" s="18" t="str">
        <f t="shared" si="1"/>
        <v/>
      </c>
      <c r="G59" s="8"/>
      <c r="H59" s="8"/>
      <c r="I59" s="8"/>
    </row>
    <row r="60" spans="1:9" x14ac:dyDescent="0.3">
      <c r="A60" s="9"/>
      <c r="B60" s="8"/>
      <c r="C60" s="17"/>
      <c r="D60" s="17"/>
      <c r="E60" s="17"/>
      <c r="F60" s="18" t="str">
        <f t="shared" si="1"/>
        <v/>
      </c>
      <c r="G60" s="8"/>
      <c r="H60" s="8"/>
      <c r="I60" s="8"/>
    </row>
    <row r="61" spans="1:9" x14ac:dyDescent="0.3">
      <c r="A61" s="9"/>
      <c r="B61" s="8"/>
      <c r="C61" s="17"/>
      <c r="D61" s="17"/>
      <c r="E61" s="17"/>
      <c r="F61" s="18" t="str">
        <f t="shared" si="1"/>
        <v/>
      </c>
      <c r="G61" s="8"/>
      <c r="H61" s="8"/>
      <c r="I61" s="8"/>
    </row>
    <row r="62" spans="1:9" x14ac:dyDescent="0.3">
      <c r="A62" s="9"/>
      <c r="B62" s="8"/>
      <c r="C62" s="17"/>
      <c r="D62" s="17"/>
      <c r="E62" s="17"/>
      <c r="F62" s="18" t="str">
        <f t="shared" si="1"/>
        <v/>
      </c>
      <c r="G62" s="8"/>
      <c r="H62" s="8"/>
      <c r="I62" s="8"/>
    </row>
    <row r="63" spans="1:9" x14ac:dyDescent="0.3">
      <c r="A63" s="9"/>
      <c r="B63" s="8"/>
      <c r="C63" s="17"/>
      <c r="D63" s="17"/>
      <c r="E63" s="17"/>
      <c r="F63" s="18" t="str">
        <f t="shared" si="1"/>
        <v/>
      </c>
      <c r="G63" s="8"/>
      <c r="H63" s="8"/>
      <c r="I63" s="8"/>
    </row>
    <row r="64" spans="1:9" x14ac:dyDescent="0.3">
      <c r="A64" s="9"/>
      <c r="B64" s="8"/>
      <c r="C64" s="17"/>
      <c r="D64" s="17"/>
      <c r="E64" s="17"/>
      <c r="F64" s="18" t="str">
        <f t="shared" si="1"/>
        <v/>
      </c>
      <c r="G64" s="8"/>
      <c r="H64" s="8"/>
      <c r="I64" s="8"/>
    </row>
    <row r="65" spans="1:9" x14ac:dyDescent="0.3">
      <c r="A65" s="9"/>
      <c r="B65" s="8"/>
      <c r="C65" s="17"/>
      <c r="D65" s="17"/>
      <c r="E65" s="17"/>
      <c r="F65" s="18" t="str">
        <f t="shared" si="1"/>
        <v/>
      </c>
      <c r="G65" s="8"/>
      <c r="H65" s="8"/>
      <c r="I65" s="8"/>
    </row>
    <row r="66" spans="1:9" x14ac:dyDescent="0.3">
      <c r="A66" s="9"/>
      <c r="B66" s="8"/>
      <c r="C66" s="17"/>
      <c r="D66" s="17"/>
      <c r="E66" s="17"/>
      <c r="F66" s="18" t="str">
        <f t="shared" si="1"/>
        <v/>
      </c>
      <c r="G66" s="8"/>
      <c r="H66" s="8"/>
      <c r="I66" s="8"/>
    </row>
    <row r="67" spans="1:9" x14ac:dyDescent="0.3">
      <c r="A67" s="9"/>
      <c r="B67" s="8"/>
      <c r="C67" s="17"/>
      <c r="D67" s="17"/>
      <c r="E67" s="17"/>
      <c r="F67" s="18" t="str">
        <f t="shared" si="1"/>
        <v/>
      </c>
      <c r="G67" s="8"/>
      <c r="H67" s="8"/>
      <c r="I67" s="8"/>
    </row>
    <row r="68" spans="1:9" x14ac:dyDescent="0.3">
      <c r="A68" s="9"/>
      <c r="B68" s="8"/>
      <c r="C68" s="17"/>
      <c r="D68" s="17"/>
      <c r="E68" s="17"/>
      <c r="F68" s="18" t="str">
        <f t="shared" si="1"/>
        <v/>
      </c>
      <c r="G68" s="8"/>
      <c r="H68" s="8"/>
      <c r="I68" s="8"/>
    </row>
    <row r="69" spans="1:9" x14ac:dyDescent="0.3">
      <c r="A69" s="9"/>
      <c r="B69" s="8"/>
      <c r="C69" s="17"/>
      <c r="D69" s="17"/>
      <c r="E69" s="17"/>
      <c r="F69" s="18" t="str">
        <f t="shared" ref="F69:F100" si="2">IF(C69="","",C69-IF(D69="",0,D69)-IF(E69="",0,E69))</f>
        <v/>
      </c>
      <c r="G69" s="8"/>
      <c r="H69" s="8"/>
      <c r="I69" s="8"/>
    </row>
    <row r="70" spans="1:9" x14ac:dyDescent="0.3">
      <c r="A70" s="9"/>
      <c r="B70" s="8"/>
      <c r="C70" s="17"/>
      <c r="D70" s="17"/>
      <c r="E70" s="17"/>
      <c r="F70" s="18" t="str">
        <f t="shared" si="2"/>
        <v/>
      </c>
      <c r="G70" s="8"/>
      <c r="H70" s="8"/>
      <c r="I70" s="8"/>
    </row>
    <row r="71" spans="1:9" x14ac:dyDescent="0.3">
      <c r="A71" s="9"/>
      <c r="B71" s="8"/>
      <c r="C71" s="17"/>
      <c r="D71" s="17"/>
      <c r="E71" s="17"/>
      <c r="F71" s="18" t="str">
        <f t="shared" si="2"/>
        <v/>
      </c>
      <c r="G71" s="8"/>
      <c r="H71" s="8"/>
      <c r="I71" s="8"/>
    </row>
    <row r="72" spans="1:9" x14ac:dyDescent="0.3">
      <c r="A72" s="9"/>
      <c r="B72" s="8"/>
      <c r="C72" s="17"/>
      <c r="D72" s="17"/>
      <c r="E72" s="17"/>
      <c r="F72" s="18" t="str">
        <f t="shared" si="2"/>
        <v/>
      </c>
      <c r="G72" s="8"/>
      <c r="H72" s="8"/>
      <c r="I72" s="8"/>
    </row>
    <row r="73" spans="1:9" x14ac:dyDescent="0.3">
      <c r="A73" s="9"/>
      <c r="B73" s="8"/>
      <c r="C73" s="17"/>
      <c r="D73" s="17"/>
      <c r="E73" s="17"/>
      <c r="F73" s="18" t="str">
        <f t="shared" si="2"/>
        <v/>
      </c>
      <c r="G73" s="8"/>
      <c r="H73" s="8"/>
      <c r="I73" s="8"/>
    </row>
    <row r="74" spans="1:9" x14ac:dyDescent="0.3">
      <c r="A74" s="9"/>
      <c r="B74" s="8"/>
      <c r="C74" s="17"/>
      <c r="D74" s="17"/>
      <c r="E74" s="17"/>
      <c r="F74" s="18" t="str">
        <f t="shared" si="2"/>
        <v/>
      </c>
      <c r="G74" s="8"/>
      <c r="H74" s="8"/>
      <c r="I74" s="8"/>
    </row>
    <row r="75" spans="1:9" x14ac:dyDescent="0.3">
      <c r="A75" s="9"/>
      <c r="B75" s="8"/>
      <c r="C75" s="17"/>
      <c r="D75" s="17"/>
      <c r="E75" s="17"/>
      <c r="F75" s="18" t="str">
        <f t="shared" si="2"/>
        <v/>
      </c>
      <c r="G75" s="8"/>
      <c r="H75" s="8"/>
      <c r="I75" s="8"/>
    </row>
    <row r="76" spans="1:9" x14ac:dyDescent="0.3">
      <c r="A76" s="9"/>
      <c r="B76" s="8"/>
      <c r="C76" s="17"/>
      <c r="D76" s="17"/>
      <c r="E76" s="17"/>
      <c r="F76" s="18" t="str">
        <f t="shared" si="2"/>
        <v/>
      </c>
      <c r="G76" s="8"/>
      <c r="H76" s="8"/>
      <c r="I76" s="8"/>
    </row>
    <row r="77" spans="1:9" x14ac:dyDescent="0.3">
      <c r="A77" s="9"/>
      <c r="B77" s="8"/>
      <c r="C77" s="17"/>
      <c r="D77" s="17"/>
      <c r="E77" s="17"/>
      <c r="F77" s="18" t="str">
        <f t="shared" si="2"/>
        <v/>
      </c>
      <c r="G77" s="8"/>
      <c r="H77" s="8"/>
      <c r="I77" s="8"/>
    </row>
    <row r="78" spans="1:9" x14ac:dyDescent="0.3">
      <c r="A78" s="9"/>
      <c r="B78" s="8"/>
      <c r="C78" s="17"/>
      <c r="D78" s="17"/>
      <c r="E78" s="17"/>
      <c r="F78" s="18" t="str">
        <f t="shared" si="2"/>
        <v/>
      </c>
      <c r="G78" s="8"/>
      <c r="H78" s="8"/>
      <c r="I78" s="8"/>
    </row>
    <row r="79" spans="1:9" x14ac:dyDescent="0.3">
      <c r="A79" s="9"/>
      <c r="B79" s="8"/>
      <c r="C79" s="17"/>
      <c r="D79" s="17"/>
      <c r="E79" s="17"/>
      <c r="F79" s="18" t="str">
        <f t="shared" si="2"/>
        <v/>
      </c>
      <c r="G79" s="8"/>
      <c r="H79" s="8"/>
      <c r="I79" s="8"/>
    </row>
    <row r="80" spans="1:9" x14ac:dyDescent="0.3">
      <c r="A80" s="9"/>
      <c r="B80" s="8"/>
      <c r="C80" s="17"/>
      <c r="D80" s="17"/>
      <c r="E80" s="17"/>
      <c r="F80" s="18" t="str">
        <f t="shared" si="2"/>
        <v/>
      </c>
      <c r="G80" s="8"/>
      <c r="H80" s="8"/>
      <c r="I80" s="8"/>
    </row>
    <row r="81" spans="1:9" x14ac:dyDescent="0.3">
      <c r="A81" s="9"/>
      <c r="B81" s="8"/>
      <c r="C81" s="17"/>
      <c r="D81" s="17"/>
      <c r="E81" s="17"/>
      <c r="F81" s="18" t="str">
        <f t="shared" si="2"/>
        <v/>
      </c>
      <c r="G81" s="8"/>
      <c r="H81" s="8"/>
      <c r="I81" s="8"/>
    </row>
    <row r="82" spans="1:9" x14ac:dyDescent="0.3">
      <c r="A82" s="9"/>
      <c r="B82" s="8"/>
      <c r="C82" s="17"/>
      <c r="D82" s="17"/>
      <c r="E82" s="17"/>
      <c r="F82" s="18" t="str">
        <f t="shared" si="2"/>
        <v/>
      </c>
      <c r="G82" s="8"/>
      <c r="H82" s="8"/>
      <c r="I82" s="8"/>
    </row>
    <row r="83" spans="1:9" x14ac:dyDescent="0.3">
      <c r="A83" s="9"/>
      <c r="B83" s="8"/>
      <c r="C83" s="17"/>
      <c r="D83" s="17"/>
      <c r="E83" s="17"/>
      <c r="F83" s="18" t="str">
        <f t="shared" si="2"/>
        <v/>
      </c>
      <c r="G83" s="8"/>
      <c r="H83" s="8"/>
      <c r="I83" s="8"/>
    </row>
    <row r="84" spans="1:9" x14ac:dyDescent="0.3">
      <c r="A84" s="9"/>
      <c r="B84" s="8"/>
      <c r="C84" s="17"/>
      <c r="D84" s="17"/>
      <c r="E84" s="17"/>
      <c r="F84" s="18" t="str">
        <f t="shared" si="2"/>
        <v/>
      </c>
      <c r="G84" s="8"/>
      <c r="H84" s="8"/>
      <c r="I84" s="8"/>
    </row>
    <row r="85" spans="1:9" x14ac:dyDescent="0.3">
      <c r="A85" s="9"/>
      <c r="B85" s="8"/>
      <c r="C85" s="17"/>
      <c r="D85" s="17"/>
      <c r="E85" s="17"/>
      <c r="F85" s="18" t="str">
        <f t="shared" si="2"/>
        <v/>
      </c>
      <c r="G85" s="8"/>
      <c r="H85" s="8"/>
      <c r="I85" s="8"/>
    </row>
    <row r="86" spans="1:9" x14ac:dyDescent="0.3">
      <c r="A86" s="9"/>
      <c r="B86" s="8"/>
      <c r="C86" s="17"/>
      <c r="D86" s="17"/>
      <c r="E86" s="17"/>
      <c r="F86" s="18" t="str">
        <f t="shared" si="2"/>
        <v/>
      </c>
      <c r="G86" s="8"/>
      <c r="H86" s="8"/>
      <c r="I86" s="8"/>
    </row>
    <row r="87" spans="1:9" x14ac:dyDescent="0.3">
      <c r="A87" s="9"/>
      <c r="B87" s="8"/>
      <c r="C87" s="17"/>
      <c r="D87" s="17"/>
      <c r="E87" s="17"/>
      <c r="F87" s="18" t="str">
        <f t="shared" si="2"/>
        <v/>
      </c>
      <c r="G87" s="8"/>
      <c r="H87" s="8"/>
      <c r="I87" s="8"/>
    </row>
    <row r="88" spans="1:9" x14ac:dyDescent="0.3">
      <c r="A88" s="9"/>
      <c r="B88" s="8"/>
      <c r="C88" s="17"/>
      <c r="D88" s="17"/>
      <c r="E88" s="17"/>
      <c r="F88" s="18" t="str">
        <f t="shared" si="2"/>
        <v/>
      </c>
      <c r="G88" s="8"/>
      <c r="H88" s="8"/>
      <c r="I88" s="8"/>
    </row>
    <row r="89" spans="1:9" x14ac:dyDescent="0.3">
      <c r="A89" s="9"/>
      <c r="B89" s="8"/>
      <c r="C89" s="17"/>
      <c r="D89" s="17"/>
      <c r="E89" s="17"/>
      <c r="F89" s="18" t="str">
        <f t="shared" si="2"/>
        <v/>
      </c>
      <c r="G89" s="8"/>
      <c r="H89" s="8"/>
      <c r="I89" s="8"/>
    </row>
    <row r="90" spans="1:9" x14ac:dyDescent="0.3">
      <c r="A90" s="9"/>
      <c r="B90" s="8"/>
      <c r="C90" s="17"/>
      <c r="D90" s="17"/>
      <c r="E90" s="17"/>
      <c r="F90" s="18" t="str">
        <f t="shared" si="2"/>
        <v/>
      </c>
      <c r="G90" s="8"/>
      <c r="H90" s="8"/>
      <c r="I90" s="8"/>
    </row>
    <row r="91" spans="1:9" x14ac:dyDescent="0.3">
      <c r="A91" s="9"/>
      <c r="B91" s="8"/>
      <c r="C91" s="17"/>
      <c r="D91" s="17"/>
      <c r="E91" s="17"/>
      <c r="F91" s="18" t="str">
        <f t="shared" si="2"/>
        <v/>
      </c>
      <c r="G91" s="8"/>
      <c r="H91" s="8"/>
      <c r="I91" s="8"/>
    </row>
    <row r="92" spans="1:9" x14ac:dyDescent="0.3">
      <c r="A92" s="9"/>
      <c r="B92" s="8"/>
      <c r="C92" s="17"/>
      <c r="D92" s="17"/>
      <c r="E92" s="17"/>
      <c r="F92" s="18" t="str">
        <f t="shared" si="2"/>
        <v/>
      </c>
      <c r="G92" s="8"/>
      <c r="H92" s="8"/>
      <c r="I92" s="8"/>
    </row>
    <row r="93" spans="1:9" x14ac:dyDescent="0.3">
      <c r="A93" s="9"/>
      <c r="B93" s="8"/>
      <c r="C93" s="17"/>
      <c r="D93" s="17"/>
      <c r="E93" s="17"/>
      <c r="F93" s="18" t="str">
        <f t="shared" si="2"/>
        <v/>
      </c>
      <c r="G93" s="8"/>
      <c r="H93" s="8"/>
      <c r="I93" s="8"/>
    </row>
    <row r="94" spans="1:9" x14ac:dyDescent="0.3">
      <c r="A94" s="9"/>
      <c r="B94" s="8"/>
      <c r="C94" s="17"/>
      <c r="D94" s="17"/>
      <c r="E94" s="17"/>
      <c r="F94" s="18" t="str">
        <f t="shared" si="2"/>
        <v/>
      </c>
      <c r="G94" s="8"/>
      <c r="H94" s="8"/>
      <c r="I94" s="8"/>
    </row>
    <row r="95" spans="1:9" x14ac:dyDescent="0.3">
      <c r="A95" s="9"/>
      <c r="B95" s="8"/>
      <c r="C95" s="17"/>
      <c r="D95" s="17"/>
      <c r="E95" s="17"/>
      <c r="F95" s="18" t="str">
        <f t="shared" si="2"/>
        <v/>
      </c>
      <c r="G95" s="8"/>
      <c r="H95" s="8"/>
      <c r="I95" s="8"/>
    </row>
    <row r="96" spans="1:9" x14ac:dyDescent="0.3">
      <c r="A96" s="9"/>
      <c r="B96" s="8"/>
      <c r="C96" s="17"/>
      <c r="D96" s="17"/>
      <c r="E96" s="17"/>
      <c r="F96" s="18" t="str">
        <f t="shared" si="2"/>
        <v/>
      </c>
      <c r="G96" s="8"/>
      <c r="H96" s="8"/>
      <c r="I96" s="8"/>
    </row>
    <row r="97" spans="1:9" x14ac:dyDescent="0.3">
      <c r="A97" s="9"/>
      <c r="B97" s="8"/>
      <c r="C97" s="17"/>
      <c r="D97" s="17"/>
      <c r="E97" s="17"/>
      <c r="F97" s="18" t="str">
        <f t="shared" si="2"/>
        <v/>
      </c>
      <c r="G97" s="8"/>
      <c r="H97" s="8"/>
      <c r="I97" s="8"/>
    </row>
    <row r="98" spans="1:9" x14ac:dyDescent="0.3">
      <c r="A98" s="9"/>
      <c r="B98" s="8"/>
      <c r="C98" s="17"/>
      <c r="D98" s="17"/>
      <c r="E98" s="17"/>
      <c r="F98" s="18" t="str">
        <f t="shared" si="2"/>
        <v/>
      </c>
      <c r="G98" s="8"/>
      <c r="H98" s="8"/>
      <c r="I98" s="8"/>
    </row>
    <row r="99" spans="1:9" x14ac:dyDescent="0.3">
      <c r="A99" s="9"/>
      <c r="B99" s="8"/>
      <c r="C99" s="17"/>
      <c r="D99" s="17"/>
      <c r="E99" s="17"/>
      <c r="F99" s="18" t="str">
        <f t="shared" si="2"/>
        <v/>
      </c>
      <c r="G99" s="8"/>
      <c r="H99" s="8"/>
      <c r="I99" s="8"/>
    </row>
    <row r="100" spans="1:9" x14ac:dyDescent="0.3">
      <c r="A100" s="9"/>
      <c r="B100" s="8"/>
      <c r="C100" s="17"/>
      <c r="D100" s="17"/>
      <c r="E100" s="17"/>
      <c r="F100" s="18" t="str">
        <f t="shared" si="2"/>
        <v/>
      </c>
      <c r="G100" s="8"/>
      <c r="H100" s="8"/>
      <c r="I100" s="8"/>
    </row>
    <row r="101" spans="1:9" x14ac:dyDescent="0.3">
      <c r="A101" s="9"/>
      <c r="B101" s="8"/>
      <c r="C101" s="17"/>
      <c r="D101" s="17"/>
      <c r="E101" s="17"/>
      <c r="F101" s="18" t="str">
        <f t="shared" ref="F101:F132" si="3">IF(C101="","",C101-IF(D101="",0,D101)-IF(E101="",0,E101))</f>
        <v/>
      </c>
      <c r="G101" s="8"/>
      <c r="H101" s="8"/>
      <c r="I101" s="8"/>
    </row>
    <row r="102" spans="1:9" x14ac:dyDescent="0.3">
      <c r="A102" s="9"/>
      <c r="B102" s="8"/>
      <c r="C102" s="17"/>
      <c r="D102" s="17"/>
      <c r="E102" s="17"/>
      <c r="F102" s="18" t="str">
        <f t="shared" si="3"/>
        <v/>
      </c>
      <c r="G102" s="8"/>
      <c r="H102" s="8"/>
      <c r="I102" s="8"/>
    </row>
    <row r="103" spans="1:9" x14ac:dyDescent="0.3">
      <c r="A103" s="9"/>
      <c r="B103" s="8"/>
      <c r="C103" s="17"/>
      <c r="D103" s="17"/>
      <c r="E103" s="17"/>
      <c r="F103" s="18" t="str">
        <f t="shared" si="3"/>
        <v/>
      </c>
      <c r="G103" s="8"/>
      <c r="H103" s="8"/>
      <c r="I103" s="8"/>
    </row>
    <row r="104" spans="1:9" x14ac:dyDescent="0.3">
      <c r="A104" s="9"/>
      <c r="B104" s="8"/>
      <c r="C104" s="17"/>
      <c r="D104" s="17"/>
      <c r="E104" s="17"/>
      <c r="F104" s="18" t="str">
        <f t="shared" si="3"/>
        <v/>
      </c>
      <c r="G104" s="8"/>
      <c r="H104" s="8"/>
      <c r="I104" s="8"/>
    </row>
    <row r="105" spans="1:9" x14ac:dyDescent="0.3">
      <c r="A105" s="9"/>
      <c r="B105" s="8"/>
      <c r="C105" s="17"/>
      <c r="D105" s="17"/>
      <c r="E105" s="17"/>
      <c r="F105" s="18" t="str">
        <f t="shared" si="3"/>
        <v/>
      </c>
      <c r="G105" s="8"/>
      <c r="H105" s="8"/>
      <c r="I105" s="8"/>
    </row>
    <row r="106" spans="1:9" x14ac:dyDescent="0.3">
      <c r="A106" s="9"/>
      <c r="B106" s="8"/>
      <c r="C106" s="17"/>
      <c r="D106" s="17"/>
      <c r="E106" s="17"/>
      <c r="F106" s="18" t="str">
        <f t="shared" si="3"/>
        <v/>
      </c>
      <c r="G106" s="8"/>
      <c r="H106" s="8"/>
      <c r="I106" s="8"/>
    </row>
    <row r="107" spans="1:9" x14ac:dyDescent="0.3">
      <c r="A107" s="9"/>
      <c r="B107" s="8"/>
      <c r="C107" s="17"/>
      <c r="D107" s="17"/>
      <c r="E107" s="17"/>
      <c r="F107" s="18" t="str">
        <f t="shared" si="3"/>
        <v/>
      </c>
      <c r="G107" s="8"/>
      <c r="H107" s="8"/>
      <c r="I107" s="8"/>
    </row>
    <row r="108" spans="1:9" x14ac:dyDescent="0.3">
      <c r="A108" s="9"/>
      <c r="B108" s="8"/>
      <c r="C108" s="17"/>
      <c r="D108" s="17"/>
      <c r="E108" s="17"/>
      <c r="F108" s="18" t="str">
        <f t="shared" si="3"/>
        <v/>
      </c>
      <c r="G108" s="8"/>
      <c r="H108" s="8"/>
      <c r="I108" s="8"/>
    </row>
    <row r="109" spans="1:9" x14ac:dyDescent="0.3">
      <c r="A109" s="9"/>
      <c r="B109" s="8"/>
      <c r="C109" s="17"/>
      <c r="D109" s="17"/>
      <c r="E109" s="17"/>
      <c r="F109" s="18" t="str">
        <f t="shared" si="3"/>
        <v/>
      </c>
      <c r="G109" s="8"/>
      <c r="H109" s="8"/>
      <c r="I109" s="8"/>
    </row>
    <row r="110" spans="1:9" x14ac:dyDescent="0.3">
      <c r="A110" s="9"/>
      <c r="B110" s="8"/>
      <c r="C110" s="17"/>
      <c r="D110" s="17"/>
      <c r="E110" s="17"/>
      <c r="F110" s="18" t="str">
        <f t="shared" si="3"/>
        <v/>
      </c>
      <c r="G110" s="8"/>
      <c r="H110" s="8"/>
      <c r="I110" s="8"/>
    </row>
    <row r="111" spans="1:9" x14ac:dyDescent="0.3">
      <c r="A111" s="9"/>
      <c r="B111" s="8"/>
      <c r="C111" s="17"/>
      <c r="D111" s="17"/>
      <c r="E111" s="17"/>
      <c r="F111" s="18" t="str">
        <f t="shared" si="3"/>
        <v/>
      </c>
      <c r="G111" s="8"/>
      <c r="H111" s="8"/>
      <c r="I111" s="8"/>
    </row>
    <row r="112" spans="1:9" x14ac:dyDescent="0.3">
      <c r="A112" s="9"/>
      <c r="B112" s="8"/>
      <c r="C112" s="17"/>
      <c r="D112" s="17"/>
      <c r="E112" s="17"/>
      <c r="F112" s="18" t="str">
        <f t="shared" si="3"/>
        <v/>
      </c>
      <c r="G112" s="8"/>
      <c r="H112" s="8"/>
      <c r="I112" s="8"/>
    </row>
    <row r="113" spans="1:9" x14ac:dyDescent="0.3">
      <c r="A113" s="9"/>
      <c r="B113" s="8"/>
      <c r="C113" s="17"/>
      <c r="D113" s="17"/>
      <c r="E113" s="17"/>
      <c r="F113" s="18" t="str">
        <f t="shared" si="3"/>
        <v/>
      </c>
      <c r="G113" s="8"/>
      <c r="H113" s="8"/>
      <c r="I113" s="8"/>
    </row>
    <row r="114" spans="1:9" x14ac:dyDescent="0.3">
      <c r="A114" s="9"/>
      <c r="B114" s="8"/>
      <c r="C114" s="17"/>
      <c r="D114" s="17"/>
      <c r="E114" s="17"/>
      <c r="F114" s="18" t="str">
        <f t="shared" si="3"/>
        <v/>
      </c>
      <c r="G114" s="8"/>
      <c r="H114" s="8"/>
      <c r="I114" s="8"/>
    </row>
    <row r="115" spans="1:9" x14ac:dyDescent="0.3">
      <c r="A115" s="9"/>
      <c r="B115" s="8"/>
      <c r="C115" s="17"/>
      <c r="D115" s="17"/>
      <c r="E115" s="17"/>
      <c r="F115" s="18" t="str">
        <f t="shared" si="3"/>
        <v/>
      </c>
      <c r="G115" s="8"/>
      <c r="H115" s="8"/>
      <c r="I115" s="8"/>
    </row>
    <row r="116" spans="1:9" x14ac:dyDescent="0.3">
      <c r="A116" s="9"/>
      <c r="B116" s="8"/>
      <c r="C116" s="17"/>
      <c r="D116" s="17"/>
      <c r="E116" s="17"/>
      <c r="F116" s="18" t="str">
        <f t="shared" si="3"/>
        <v/>
      </c>
      <c r="G116" s="8"/>
      <c r="H116" s="8"/>
      <c r="I116" s="8"/>
    </row>
    <row r="117" spans="1:9" x14ac:dyDescent="0.3">
      <c r="A117" s="9"/>
      <c r="B117" s="8"/>
      <c r="C117" s="17"/>
      <c r="D117" s="17"/>
      <c r="E117" s="17"/>
      <c r="F117" s="18" t="str">
        <f t="shared" si="3"/>
        <v/>
      </c>
      <c r="G117" s="8"/>
      <c r="H117" s="8"/>
      <c r="I117" s="8"/>
    </row>
    <row r="118" spans="1:9" x14ac:dyDescent="0.3">
      <c r="A118" s="9"/>
      <c r="B118" s="8"/>
      <c r="C118" s="17"/>
      <c r="D118" s="17"/>
      <c r="E118" s="17"/>
      <c r="F118" s="18" t="str">
        <f t="shared" si="3"/>
        <v/>
      </c>
      <c r="G118" s="8"/>
      <c r="H118" s="8"/>
      <c r="I118" s="8"/>
    </row>
    <row r="119" spans="1:9" x14ac:dyDescent="0.3">
      <c r="A119" s="9"/>
      <c r="B119" s="8"/>
      <c r="C119" s="17"/>
      <c r="D119" s="17"/>
      <c r="E119" s="17"/>
      <c r="F119" s="18" t="str">
        <f t="shared" si="3"/>
        <v/>
      </c>
      <c r="G119" s="8"/>
      <c r="H119" s="8"/>
      <c r="I119" s="8"/>
    </row>
    <row r="120" spans="1:9" x14ac:dyDescent="0.3">
      <c r="A120" s="9"/>
      <c r="B120" s="8"/>
      <c r="C120" s="17"/>
      <c r="D120" s="17"/>
      <c r="E120" s="17"/>
      <c r="F120" s="18" t="str">
        <f t="shared" si="3"/>
        <v/>
      </c>
      <c r="G120" s="8"/>
      <c r="H120" s="8"/>
      <c r="I120" s="8"/>
    </row>
    <row r="121" spans="1:9" x14ac:dyDescent="0.3">
      <c r="A121" s="9"/>
      <c r="B121" s="8"/>
      <c r="C121" s="17"/>
      <c r="D121" s="17"/>
      <c r="E121" s="17"/>
      <c r="F121" s="18" t="str">
        <f t="shared" si="3"/>
        <v/>
      </c>
      <c r="G121" s="8"/>
      <c r="H121" s="8"/>
      <c r="I121" s="8"/>
    </row>
    <row r="122" spans="1:9" x14ac:dyDescent="0.3">
      <c r="A122" s="9"/>
      <c r="B122" s="8"/>
      <c r="C122" s="17"/>
      <c r="D122" s="17"/>
      <c r="E122" s="17"/>
      <c r="F122" s="18" t="str">
        <f t="shared" si="3"/>
        <v/>
      </c>
      <c r="G122" s="8"/>
      <c r="H122" s="8"/>
      <c r="I122" s="8"/>
    </row>
    <row r="123" spans="1:9" x14ac:dyDescent="0.3">
      <c r="A123" s="9"/>
      <c r="B123" s="8"/>
      <c r="C123" s="17"/>
      <c r="D123" s="17"/>
      <c r="E123" s="17"/>
      <c r="F123" s="18" t="str">
        <f t="shared" si="3"/>
        <v/>
      </c>
      <c r="G123" s="8"/>
      <c r="H123" s="8"/>
      <c r="I123" s="8"/>
    </row>
    <row r="124" spans="1:9" x14ac:dyDescent="0.3">
      <c r="A124" s="9"/>
      <c r="B124" s="8"/>
      <c r="C124" s="17"/>
      <c r="D124" s="17"/>
      <c r="E124" s="17"/>
      <c r="F124" s="18" t="str">
        <f t="shared" si="3"/>
        <v/>
      </c>
      <c r="G124" s="8"/>
      <c r="H124" s="8"/>
      <c r="I124" s="8"/>
    </row>
    <row r="125" spans="1:9" x14ac:dyDescent="0.3">
      <c r="A125" s="9"/>
      <c r="B125" s="8"/>
      <c r="C125" s="17"/>
      <c r="D125" s="17"/>
      <c r="E125" s="17"/>
      <c r="F125" s="18" t="str">
        <f t="shared" si="3"/>
        <v/>
      </c>
      <c r="G125" s="8"/>
      <c r="H125" s="8"/>
      <c r="I125" s="8"/>
    </row>
    <row r="126" spans="1:9" x14ac:dyDescent="0.3">
      <c r="A126" s="9"/>
      <c r="B126" s="8"/>
      <c r="C126" s="17"/>
      <c r="D126" s="17"/>
      <c r="E126" s="17"/>
      <c r="F126" s="18" t="str">
        <f t="shared" si="3"/>
        <v/>
      </c>
      <c r="G126" s="8"/>
      <c r="H126" s="8"/>
      <c r="I126" s="8"/>
    </row>
    <row r="127" spans="1:9" x14ac:dyDescent="0.3">
      <c r="A127" s="9"/>
      <c r="B127" s="8"/>
      <c r="C127" s="17"/>
      <c r="D127" s="17"/>
      <c r="E127" s="17"/>
      <c r="F127" s="18" t="str">
        <f t="shared" si="3"/>
        <v/>
      </c>
      <c r="G127" s="8"/>
      <c r="H127" s="8"/>
      <c r="I127" s="8"/>
    </row>
    <row r="128" spans="1:9" x14ac:dyDescent="0.3">
      <c r="A128" s="9"/>
      <c r="B128" s="8"/>
      <c r="C128" s="17"/>
      <c r="D128" s="17"/>
      <c r="E128" s="17"/>
      <c r="F128" s="18" t="str">
        <f t="shared" si="3"/>
        <v/>
      </c>
      <c r="G128" s="8"/>
      <c r="H128" s="8"/>
      <c r="I128" s="8"/>
    </row>
    <row r="129" spans="1:9" x14ac:dyDescent="0.3">
      <c r="A129" s="9"/>
      <c r="B129" s="8"/>
      <c r="C129" s="17"/>
      <c r="D129" s="17"/>
      <c r="E129" s="17"/>
      <c r="F129" s="18" t="str">
        <f t="shared" si="3"/>
        <v/>
      </c>
      <c r="G129" s="8"/>
      <c r="H129" s="8"/>
      <c r="I129" s="8"/>
    </row>
    <row r="130" spans="1:9" x14ac:dyDescent="0.3">
      <c r="A130" s="9"/>
      <c r="B130" s="8"/>
      <c r="C130" s="17"/>
      <c r="D130" s="17"/>
      <c r="E130" s="17"/>
      <c r="F130" s="18" t="str">
        <f t="shared" si="3"/>
        <v/>
      </c>
      <c r="G130" s="8"/>
      <c r="H130" s="8"/>
      <c r="I130" s="8"/>
    </row>
    <row r="131" spans="1:9" x14ac:dyDescent="0.3">
      <c r="A131" s="9"/>
      <c r="B131" s="8"/>
      <c r="C131" s="17"/>
      <c r="D131" s="17"/>
      <c r="E131" s="17"/>
      <c r="F131" s="18" t="str">
        <f t="shared" si="3"/>
        <v/>
      </c>
      <c r="G131" s="8"/>
      <c r="H131" s="8"/>
      <c r="I131" s="8"/>
    </row>
    <row r="132" spans="1:9" x14ac:dyDescent="0.3">
      <c r="A132" s="9"/>
      <c r="B132" s="8"/>
      <c r="C132" s="17"/>
      <c r="D132" s="17"/>
      <c r="E132" s="17"/>
      <c r="F132" s="18" t="str">
        <f t="shared" si="3"/>
        <v/>
      </c>
      <c r="G132" s="8"/>
      <c r="H132" s="8"/>
      <c r="I132" s="8"/>
    </row>
    <row r="133" spans="1:9" x14ac:dyDescent="0.3">
      <c r="A133" s="9"/>
      <c r="B133" s="8"/>
      <c r="C133" s="17"/>
      <c r="D133" s="17"/>
      <c r="E133" s="17"/>
      <c r="F133" s="18" t="str">
        <f t="shared" ref="F133:F164" si="4">IF(C133="","",C133-IF(D133="",0,D133)-IF(E133="",0,E133))</f>
        <v/>
      </c>
      <c r="G133" s="8"/>
      <c r="H133" s="8"/>
      <c r="I133" s="8"/>
    </row>
    <row r="134" spans="1:9" x14ac:dyDescent="0.3">
      <c r="A134" s="9"/>
      <c r="B134" s="8"/>
      <c r="C134" s="17"/>
      <c r="D134" s="17"/>
      <c r="E134" s="17"/>
      <c r="F134" s="18" t="str">
        <f t="shared" si="4"/>
        <v/>
      </c>
      <c r="G134" s="8"/>
      <c r="H134" s="8"/>
      <c r="I134" s="8"/>
    </row>
    <row r="135" spans="1:9" x14ac:dyDescent="0.3">
      <c r="A135" s="9"/>
      <c r="B135" s="8"/>
      <c r="C135" s="17"/>
      <c r="D135" s="17"/>
      <c r="E135" s="17"/>
      <c r="F135" s="18" t="str">
        <f t="shared" si="4"/>
        <v/>
      </c>
      <c r="G135" s="8"/>
      <c r="H135" s="8"/>
      <c r="I135" s="8"/>
    </row>
    <row r="136" spans="1:9" x14ac:dyDescent="0.3">
      <c r="A136" s="9"/>
      <c r="B136" s="8"/>
      <c r="C136" s="17"/>
      <c r="D136" s="17"/>
      <c r="E136" s="17"/>
      <c r="F136" s="18" t="str">
        <f t="shared" si="4"/>
        <v/>
      </c>
      <c r="G136" s="8"/>
      <c r="H136" s="8"/>
      <c r="I136" s="8"/>
    </row>
    <row r="137" spans="1:9" x14ac:dyDescent="0.3">
      <c r="A137" s="9"/>
      <c r="B137" s="8"/>
      <c r="C137" s="17"/>
      <c r="D137" s="17"/>
      <c r="E137" s="17"/>
      <c r="F137" s="18" t="str">
        <f t="shared" si="4"/>
        <v/>
      </c>
      <c r="G137" s="8"/>
      <c r="H137" s="8"/>
      <c r="I137" s="8"/>
    </row>
    <row r="138" spans="1:9" x14ac:dyDescent="0.3">
      <c r="A138" s="9"/>
      <c r="B138" s="8"/>
      <c r="C138" s="17"/>
      <c r="D138" s="17"/>
      <c r="E138" s="17"/>
      <c r="F138" s="18" t="str">
        <f t="shared" si="4"/>
        <v/>
      </c>
      <c r="G138" s="8"/>
      <c r="H138" s="8"/>
      <c r="I138" s="8"/>
    </row>
    <row r="139" spans="1:9" x14ac:dyDescent="0.3">
      <c r="A139" s="9"/>
      <c r="B139" s="8"/>
      <c r="C139" s="17"/>
      <c r="D139" s="17"/>
      <c r="E139" s="17"/>
      <c r="F139" s="18" t="str">
        <f t="shared" si="4"/>
        <v/>
      </c>
      <c r="G139" s="8"/>
      <c r="H139" s="8"/>
      <c r="I139" s="8"/>
    </row>
    <row r="140" spans="1:9" x14ac:dyDescent="0.3">
      <c r="A140" s="9"/>
      <c r="B140" s="8"/>
      <c r="C140" s="17"/>
      <c r="D140" s="17"/>
      <c r="E140" s="17"/>
      <c r="F140" s="18" t="str">
        <f t="shared" si="4"/>
        <v/>
      </c>
      <c r="G140" s="8"/>
      <c r="H140" s="8"/>
      <c r="I140" s="8"/>
    </row>
    <row r="141" spans="1:9" x14ac:dyDescent="0.3">
      <c r="A141" s="9"/>
      <c r="B141" s="8"/>
      <c r="C141" s="17"/>
      <c r="D141" s="17"/>
      <c r="E141" s="17"/>
      <c r="F141" s="18" t="str">
        <f t="shared" si="4"/>
        <v/>
      </c>
      <c r="G141" s="8"/>
      <c r="H141" s="8"/>
      <c r="I141" s="8"/>
    </row>
    <row r="142" spans="1:9" x14ac:dyDescent="0.3">
      <c r="A142" s="9"/>
      <c r="B142" s="8"/>
      <c r="C142" s="17"/>
      <c r="D142" s="17"/>
      <c r="E142" s="17"/>
      <c r="F142" s="18" t="str">
        <f t="shared" si="4"/>
        <v/>
      </c>
      <c r="G142" s="8"/>
      <c r="H142" s="8"/>
      <c r="I142" s="8"/>
    </row>
    <row r="143" spans="1:9" x14ac:dyDescent="0.3">
      <c r="A143" s="9"/>
      <c r="B143" s="8"/>
      <c r="C143" s="17"/>
      <c r="D143" s="17"/>
      <c r="E143" s="17"/>
      <c r="F143" s="18" t="str">
        <f t="shared" si="4"/>
        <v/>
      </c>
      <c r="G143" s="8"/>
      <c r="H143" s="8"/>
      <c r="I143" s="8"/>
    </row>
    <row r="144" spans="1:9" x14ac:dyDescent="0.3">
      <c r="A144" s="9"/>
      <c r="B144" s="8"/>
      <c r="C144" s="17"/>
      <c r="D144" s="17"/>
      <c r="E144" s="17"/>
      <c r="F144" s="18" t="str">
        <f t="shared" si="4"/>
        <v/>
      </c>
      <c r="G144" s="8"/>
      <c r="H144" s="8"/>
      <c r="I144" s="8"/>
    </row>
    <row r="145" spans="1:9" x14ac:dyDescent="0.3">
      <c r="A145" s="9"/>
      <c r="B145" s="8"/>
      <c r="C145" s="17"/>
      <c r="D145" s="17"/>
      <c r="E145" s="17"/>
      <c r="F145" s="18" t="str">
        <f t="shared" si="4"/>
        <v/>
      </c>
      <c r="G145" s="8"/>
      <c r="H145" s="8"/>
      <c r="I145" s="8"/>
    </row>
    <row r="146" spans="1:9" x14ac:dyDescent="0.3">
      <c r="A146" s="9"/>
      <c r="B146" s="8"/>
      <c r="C146" s="17"/>
      <c r="D146" s="17"/>
      <c r="E146" s="17"/>
      <c r="F146" s="18" t="str">
        <f t="shared" si="4"/>
        <v/>
      </c>
      <c r="G146" s="8"/>
      <c r="H146" s="8"/>
      <c r="I146" s="8"/>
    </row>
    <row r="147" spans="1:9" x14ac:dyDescent="0.3">
      <c r="A147" s="9"/>
      <c r="B147" s="8"/>
      <c r="C147" s="17"/>
      <c r="D147" s="17"/>
      <c r="E147" s="17"/>
      <c r="F147" s="18" t="str">
        <f t="shared" si="4"/>
        <v/>
      </c>
      <c r="G147" s="8"/>
      <c r="H147" s="8"/>
      <c r="I147" s="8"/>
    </row>
    <row r="148" spans="1:9" x14ac:dyDescent="0.3">
      <c r="A148" s="9"/>
      <c r="B148" s="8"/>
      <c r="C148" s="17"/>
      <c r="D148" s="17"/>
      <c r="E148" s="17"/>
      <c r="F148" s="18" t="str">
        <f t="shared" si="4"/>
        <v/>
      </c>
      <c r="G148" s="8"/>
      <c r="H148" s="8"/>
      <c r="I148" s="8"/>
    </row>
    <row r="149" spans="1:9" x14ac:dyDescent="0.3">
      <c r="A149" s="9"/>
      <c r="B149" s="8"/>
      <c r="C149" s="17"/>
      <c r="D149" s="17"/>
      <c r="E149" s="17"/>
      <c r="F149" s="18" t="str">
        <f t="shared" si="4"/>
        <v/>
      </c>
      <c r="G149" s="8"/>
      <c r="H149" s="8"/>
      <c r="I149" s="8"/>
    </row>
    <row r="150" spans="1:9" x14ac:dyDescent="0.3">
      <c r="A150" s="9"/>
      <c r="B150" s="8"/>
      <c r="C150" s="17"/>
      <c r="D150" s="17"/>
      <c r="E150" s="17"/>
      <c r="F150" s="18" t="str">
        <f t="shared" si="4"/>
        <v/>
      </c>
      <c r="G150" s="8"/>
      <c r="H150" s="8"/>
      <c r="I150" s="8"/>
    </row>
    <row r="151" spans="1:9" x14ac:dyDescent="0.3">
      <c r="A151" s="9"/>
      <c r="B151" s="8"/>
      <c r="C151" s="17"/>
      <c r="D151" s="17"/>
      <c r="E151" s="17"/>
      <c r="F151" s="18" t="str">
        <f t="shared" si="4"/>
        <v/>
      </c>
      <c r="G151" s="8"/>
      <c r="H151" s="8"/>
      <c r="I151" s="8"/>
    </row>
    <row r="152" spans="1:9" x14ac:dyDescent="0.3">
      <c r="A152" s="9"/>
      <c r="B152" s="8"/>
      <c r="C152" s="17"/>
      <c r="D152" s="17"/>
      <c r="E152" s="17"/>
      <c r="F152" s="18" t="str">
        <f t="shared" si="4"/>
        <v/>
      </c>
      <c r="G152" s="8"/>
      <c r="H152" s="8"/>
      <c r="I152" s="8"/>
    </row>
    <row r="153" spans="1:9" x14ac:dyDescent="0.3">
      <c r="A153" s="9"/>
      <c r="B153" s="8"/>
      <c r="C153" s="17"/>
      <c r="D153" s="17"/>
      <c r="E153" s="17"/>
      <c r="F153" s="18" t="str">
        <f t="shared" si="4"/>
        <v/>
      </c>
      <c r="G153" s="8"/>
      <c r="H153" s="8"/>
      <c r="I153" s="8"/>
    </row>
    <row r="154" spans="1:9" x14ac:dyDescent="0.3">
      <c r="A154" s="9"/>
      <c r="B154" s="8"/>
      <c r="C154" s="17"/>
      <c r="D154" s="17"/>
      <c r="E154" s="17"/>
      <c r="F154" s="18" t="str">
        <f t="shared" si="4"/>
        <v/>
      </c>
      <c r="G154" s="8"/>
      <c r="H154" s="8"/>
      <c r="I154" s="8"/>
    </row>
    <row r="155" spans="1:9" x14ac:dyDescent="0.3">
      <c r="A155" s="9"/>
      <c r="B155" s="8"/>
      <c r="C155" s="17"/>
      <c r="D155" s="17"/>
      <c r="E155" s="17"/>
      <c r="F155" s="18" t="str">
        <f t="shared" si="4"/>
        <v/>
      </c>
      <c r="G155" s="8"/>
      <c r="H155" s="8"/>
      <c r="I155" s="8"/>
    </row>
    <row r="156" spans="1:9" x14ac:dyDescent="0.3">
      <c r="A156" s="9"/>
      <c r="B156" s="8"/>
      <c r="C156" s="17"/>
      <c r="D156" s="17"/>
      <c r="E156" s="17"/>
      <c r="F156" s="18" t="str">
        <f t="shared" si="4"/>
        <v/>
      </c>
      <c r="G156" s="8"/>
      <c r="H156" s="8"/>
      <c r="I156" s="8"/>
    </row>
    <row r="157" spans="1:9" x14ac:dyDescent="0.3">
      <c r="A157" s="9"/>
      <c r="B157" s="8"/>
      <c r="C157" s="17"/>
      <c r="D157" s="17"/>
      <c r="E157" s="17"/>
      <c r="F157" s="18" t="str">
        <f t="shared" si="4"/>
        <v/>
      </c>
      <c r="G157" s="8"/>
      <c r="H157" s="8"/>
      <c r="I157" s="8"/>
    </row>
    <row r="158" spans="1:9" x14ac:dyDescent="0.3">
      <c r="A158" s="9"/>
      <c r="B158" s="8"/>
      <c r="C158" s="17"/>
      <c r="D158" s="17"/>
      <c r="E158" s="17"/>
      <c r="F158" s="18" t="str">
        <f t="shared" si="4"/>
        <v/>
      </c>
      <c r="G158" s="8"/>
      <c r="H158" s="8"/>
      <c r="I158" s="8"/>
    </row>
    <row r="159" spans="1:9" x14ac:dyDescent="0.3">
      <c r="A159" s="9"/>
      <c r="B159" s="8"/>
      <c r="C159" s="17"/>
      <c r="D159" s="17"/>
      <c r="E159" s="17"/>
      <c r="F159" s="18" t="str">
        <f t="shared" si="4"/>
        <v/>
      </c>
      <c r="G159" s="8"/>
      <c r="H159" s="8"/>
      <c r="I159" s="8"/>
    </row>
    <row r="160" spans="1:9" x14ac:dyDescent="0.3">
      <c r="A160" s="9"/>
      <c r="B160" s="8"/>
      <c r="C160" s="17"/>
      <c r="D160" s="17"/>
      <c r="E160" s="17"/>
      <c r="F160" s="18" t="str">
        <f t="shared" si="4"/>
        <v/>
      </c>
      <c r="G160" s="8"/>
      <c r="H160" s="8"/>
      <c r="I160" s="8"/>
    </row>
    <row r="161" spans="1:9" x14ac:dyDescent="0.3">
      <c r="A161" s="9"/>
      <c r="B161" s="8"/>
      <c r="C161" s="17"/>
      <c r="D161" s="17"/>
      <c r="E161" s="17"/>
      <c r="F161" s="18" t="str">
        <f t="shared" si="4"/>
        <v/>
      </c>
      <c r="G161" s="8"/>
      <c r="H161" s="8"/>
      <c r="I161" s="8"/>
    </row>
    <row r="162" spans="1:9" x14ac:dyDescent="0.3">
      <c r="A162" s="9"/>
      <c r="B162" s="8"/>
      <c r="C162" s="17"/>
      <c r="D162" s="17"/>
      <c r="E162" s="17"/>
      <c r="F162" s="18" t="str">
        <f t="shared" si="4"/>
        <v/>
      </c>
      <c r="G162" s="8"/>
      <c r="H162" s="8"/>
      <c r="I162" s="8"/>
    </row>
    <row r="163" spans="1:9" x14ac:dyDescent="0.3">
      <c r="A163" s="9"/>
      <c r="B163" s="8"/>
      <c r="C163" s="17"/>
      <c r="D163" s="17"/>
      <c r="E163" s="17"/>
      <c r="F163" s="18" t="str">
        <f t="shared" si="4"/>
        <v/>
      </c>
      <c r="G163" s="8"/>
      <c r="H163" s="8"/>
      <c r="I163" s="8"/>
    </row>
    <row r="164" spans="1:9" x14ac:dyDescent="0.3">
      <c r="A164" s="9"/>
      <c r="B164" s="8"/>
      <c r="C164" s="17"/>
      <c r="D164" s="17"/>
      <c r="E164" s="17"/>
      <c r="F164" s="18" t="str">
        <f t="shared" si="4"/>
        <v/>
      </c>
      <c r="G164" s="8"/>
      <c r="H164" s="8"/>
      <c r="I164" s="8"/>
    </row>
    <row r="165" spans="1:9" x14ac:dyDescent="0.3">
      <c r="A165" s="9"/>
      <c r="B165" s="8"/>
      <c r="C165" s="17"/>
      <c r="D165" s="17"/>
      <c r="E165" s="17"/>
      <c r="F165" s="18" t="str">
        <f t="shared" ref="F165:F196" si="5">IF(C165="","",C165-IF(D165="",0,D165)-IF(E165="",0,E165))</f>
        <v/>
      </c>
      <c r="G165" s="8"/>
      <c r="H165" s="8"/>
      <c r="I165" s="8"/>
    </row>
    <row r="166" spans="1:9" x14ac:dyDescent="0.3">
      <c r="A166" s="9"/>
      <c r="B166" s="8"/>
      <c r="C166" s="17"/>
      <c r="D166" s="17"/>
      <c r="E166" s="17"/>
      <c r="F166" s="18" t="str">
        <f t="shared" si="5"/>
        <v/>
      </c>
      <c r="G166" s="8"/>
      <c r="H166" s="8"/>
      <c r="I166" s="8"/>
    </row>
    <row r="167" spans="1:9" x14ac:dyDescent="0.3">
      <c r="A167" s="9"/>
      <c r="B167" s="8"/>
      <c r="C167" s="17"/>
      <c r="D167" s="17"/>
      <c r="E167" s="17"/>
      <c r="F167" s="18" t="str">
        <f t="shared" si="5"/>
        <v/>
      </c>
      <c r="G167" s="8"/>
      <c r="H167" s="8"/>
      <c r="I167" s="8"/>
    </row>
    <row r="168" spans="1:9" x14ac:dyDescent="0.3">
      <c r="A168" s="9"/>
      <c r="B168" s="8"/>
      <c r="C168" s="17"/>
      <c r="D168" s="17"/>
      <c r="E168" s="17"/>
      <c r="F168" s="18" t="str">
        <f t="shared" si="5"/>
        <v/>
      </c>
      <c r="G168" s="8"/>
      <c r="H168" s="8"/>
      <c r="I168" s="8"/>
    </row>
    <row r="169" spans="1:9" x14ac:dyDescent="0.3">
      <c r="A169" s="9"/>
      <c r="B169" s="8"/>
      <c r="C169" s="17"/>
      <c r="D169" s="17"/>
      <c r="E169" s="17"/>
      <c r="F169" s="18" t="str">
        <f t="shared" si="5"/>
        <v/>
      </c>
      <c r="G169" s="8"/>
      <c r="H169" s="8"/>
      <c r="I169" s="8"/>
    </row>
    <row r="170" spans="1:9" x14ac:dyDescent="0.3">
      <c r="A170" s="9"/>
      <c r="B170" s="8"/>
      <c r="C170" s="17"/>
      <c r="D170" s="17"/>
      <c r="E170" s="17"/>
      <c r="F170" s="18" t="str">
        <f t="shared" si="5"/>
        <v/>
      </c>
      <c r="G170" s="8"/>
      <c r="H170" s="8"/>
      <c r="I170" s="8"/>
    </row>
    <row r="171" spans="1:9" x14ac:dyDescent="0.3">
      <c r="A171" s="9"/>
      <c r="B171" s="8"/>
      <c r="C171" s="17"/>
      <c r="D171" s="17"/>
      <c r="E171" s="17"/>
      <c r="F171" s="18" t="str">
        <f t="shared" si="5"/>
        <v/>
      </c>
      <c r="G171" s="8"/>
      <c r="H171" s="8"/>
      <c r="I171" s="8"/>
    </row>
    <row r="172" spans="1:9" x14ac:dyDescent="0.3">
      <c r="A172" s="9"/>
      <c r="B172" s="8"/>
      <c r="C172" s="17"/>
      <c r="D172" s="17"/>
      <c r="E172" s="17"/>
      <c r="F172" s="18" t="str">
        <f t="shared" si="5"/>
        <v/>
      </c>
      <c r="G172" s="8"/>
      <c r="H172" s="8"/>
      <c r="I172" s="8"/>
    </row>
    <row r="173" spans="1:9" x14ac:dyDescent="0.3">
      <c r="A173" s="9"/>
      <c r="B173" s="8"/>
      <c r="C173" s="17"/>
      <c r="D173" s="17"/>
      <c r="E173" s="17"/>
      <c r="F173" s="18" t="str">
        <f t="shared" si="5"/>
        <v/>
      </c>
      <c r="G173" s="8"/>
      <c r="H173" s="8"/>
      <c r="I173" s="8"/>
    </row>
    <row r="174" spans="1:9" x14ac:dyDescent="0.3">
      <c r="A174" s="9"/>
      <c r="B174" s="8"/>
      <c r="C174" s="17"/>
      <c r="D174" s="17"/>
      <c r="E174" s="17"/>
      <c r="F174" s="18" t="str">
        <f t="shared" si="5"/>
        <v/>
      </c>
      <c r="G174" s="8"/>
      <c r="H174" s="8"/>
      <c r="I174" s="8"/>
    </row>
    <row r="175" spans="1:9" x14ac:dyDescent="0.3">
      <c r="A175" s="9"/>
      <c r="B175" s="8"/>
      <c r="C175" s="17"/>
      <c r="D175" s="17"/>
      <c r="E175" s="17"/>
      <c r="F175" s="18" t="str">
        <f t="shared" si="5"/>
        <v/>
      </c>
      <c r="G175" s="8"/>
      <c r="H175" s="8"/>
      <c r="I175" s="8"/>
    </row>
    <row r="176" spans="1:9" x14ac:dyDescent="0.3">
      <c r="A176" s="9"/>
      <c r="B176" s="8"/>
      <c r="C176" s="17"/>
      <c r="D176" s="17"/>
      <c r="E176" s="17"/>
      <c r="F176" s="18" t="str">
        <f t="shared" si="5"/>
        <v/>
      </c>
      <c r="G176" s="8"/>
      <c r="H176" s="8"/>
      <c r="I176" s="8"/>
    </row>
    <row r="177" spans="1:9" x14ac:dyDescent="0.3">
      <c r="A177" s="9"/>
      <c r="B177" s="8"/>
      <c r="C177" s="17"/>
      <c r="D177" s="17"/>
      <c r="E177" s="17"/>
      <c r="F177" s="18" t="str">
        <f t="shared" si="5"/>
        <v/>
      </c>
      <c r="G177" s="8"/>
      <c r="H177" s="8"/>
      <c r="I177" s="8"/>
    </row>
    <row r="178" spans="1:9" x14ac:dyDescent="0.3">
      <c r="A178" s="9"/>
      <c r="B178" s="8"/>
      <c r="C178" s="17"/>
      <c r="D178" s="17"/>
      <c r="E178" s="17"/>
      <c r="F178" s="18" t="str">
        <f t="shared" si="5"/>
        <v/>
      </c>
      <c r="G178" s="8"/>
      <c r="H178" s="8"/>
      <c r="I178" s="8"/>
    </row>
    <row r="179" spans="1:9" x14ac:dyDescent="0.3">
      <c r="A179" s="9"/>
      <c r="B179" s="8"/>
      <c r="C179" s="17"/>
      <c r="D179" s="17"/>
      <c r="E179" s="17"/>
      <c r="F179" s="18" t="str">
        <f t="shared" si="5"/>
        <v/>
      </c>
      <c r="G179" s="8"/>
      <c r="H179" s="8"/>
      <c r="I179" s="8"/>
    </row>
    <row r="180" spans="1:9" x14ac:dyDescent="0.3">
      <c r="A180" s="9"/>
      <c r="B180" s="8"/>
      <c r="C180" s="17"/>
      <c r="D180" s="17"/>
      <c r="E180" s="17"/>
      <c r="F180" s="18" t="str">
        <f t="shared" si="5"/>
        <v/>
      </c>
      <c r="G180" s="8"/>
      <c r="H180" s="8"/>
      <c r="I180" s="8"/>
    </row>
    <row r="181" spans="1:9" x14ac:dyDescent="0.3">
      <c r="A181" s="9"/>
      <c r="B181" s="8"/>
      <c r="C181" s="17"/>
      <c r="D181" s="17"/>
      <c r="E181" s="17"/>
      <c r="F181" s="18" t="str">
        <f t="shared" si="5"/>
        <v/>
      </c>
      <c r="G181" s="8"/>
      <c r="H181" s="8"/>
      <c r="I181" s="8"/>
    </row>
    <row r="182" spans="1:9" x14ac:dyDescent="0.3">
      <c r="A182" s="9"/>
      <c r="B182" s="8"/>
      <c r="C182" s="17"/>
      <c r="D182" s="17"/>
      <c r="E182" s="17"/>
      <c r="F182" s="18" t="str">
        <f t="shared" si="5"/>
        <v/>
      </c>
      <c r="G182" s="8"/>
      <c r="H182" s="8"/>
      <c r="I182" s="8"/>
    </row>
    <row r="183" spans="1:9" x14ac:dyDescent="0.3">
      <c r="A183" s="9"/>
      <c r="B183" s="8"/>
      <c r="C183" s="17"/>
      <c r="D183" s="17"/>
      <c r="E183" s="17"/>
      <c r="F183" s="18" t="str">
        <f t="shared" si="5"/>
        <v/>
      </c>
      <c r="G183" s="8"/>
      <c r="H183" s="8"/>
      <c r="I183" s="8"/>
    </row>
    <row r="184" spans="1:9" x14ac:dyDescent="0.3">
      <c r="A184" s="9"/>
      <c r="B184" s="8"/>
      <c r="C184" s="17"/>
      <c r="D184" s="17"/>
      <c r="E184" s="17"/>
      <c r="F184" s="18" t="str">
        <f t="shared" si="5"/>
        <v/>
      </c>
      <c r="G184" s="8"/>
      <c r="H184" s="8"/>
      <c r="I184" s="8"/>
    </row>
    <row r="185" spans="1:9" x14ac:dyDescent="0.3">
      <c r="A185" s="9"/>
      <c r="B185" s="8"/>
      <c r="C185" s="17"/>
      <c r="D185" s="17"/>
      <c r="E185" s="17"/>
      <c r="F185" s="18" t="str">
        <f t="shared" si="5"/>
        <v/>
      </c>
      <c r="G185" s="8"/>
      <c r="H185" s="8"/>
      <c r="I185" s="8"/>
    </row>
    <row r="186" spans="1:9" x14ac:dyDescent="0.3">
      <c r="A186" s="9"/>
      <c r="B186" s="8"/>
      <c r="C186" s="17"/>
      <c r="D186" s="17"/>
      <c r="E186" s="17"/>
      <c r="F186" s="18" t="str">
        <f t="shared" si="5"/>
        <v/>
      </c>
      <c r="G186" s="8"/>
      <c r="H186" s="8"/>
      <c r="I186" s="8"/>
    </row>
    <row r="187" spans="1:9" x14ac:dyDescent="0.3">
      <c r="A187" s="9"/>
      <c r="B187" s="8"/>
      <c r="C187" s="17"/>
      <c r="D187" s="17"/>
      <c r="E187" s="17"/>
      <c r="F187" s="18" t="str">
        <f t="shared" si="5"/>
        <v/>
      </c>
      <c r="G187" s="8"/>
      <c r="H187" s="8"/>
      <c r="I187" s="8"/>
    </row>
    <row r="188" spans="1:9" x14ac:dyDescent="0.3">
      <c r="A188" s="9"/>
      <c r="B188" s="8"/>
      <c r="C188" s="17"/>
      <c r="D188" s="17"/>
      <c r="E188" s="17"/>
      <c r="F188" s="18" t="str">
        <f t="shared" si="5"/>
        <v/>
      </c>
      <c r="G188" s="8"/>
      <c r="H188" s="8"/>
      <c r="I188" s="8"/>
    </row>
    <row r="189" spans="1:9" x14ac:dyDescent="0.3">
      <c r="A189" s="9"/>
      <c r="B189" s="8"/>
      <c r="C189" s="17"/>
      <c r="D189" s="17"/>
      <c r="E189" s="17"/>
      <c r="F189" s="18" t="str">
        <f t="shared" si="5"/>
        <v/>
      </c>
      <c r="G189" s="8"/>
      <c r="H189" s="8"/>
      <c r="I189" s="8"/>
    </row>
    <row r="190" spans="1:9" x14ac:dyDescent="0.3">
      <c r="A190" s="9"/>
      <c r="B190" s="8"/>
      <c r="C190" s="17"/>
      <c r="D190" s="17"/>
      <c r="E190" s="17"/>
      <c r="F190" s="18" t="str">
        <f t="shared" si="5"/>
        <v/>
      </c>
      <c r="G190" s="8"/>
      <c r="H190" s="8"/>
      <c r="I190" s="8"/>
    </row>
    <row r="191" spans="1:9" x14ac:dyDescent="0.3">
      <c r="A191" s="9"/>
      <c r="B191" s="8"/>
      <c r="C191" s="17"/>
      <c r="D191" s="17"/>
      <c r="E191" s="17"/>
      <c r="F191" s="18" t="str">
        <f t="shared" si="5"/>
        <v/>
      </c>
      <c r="G191" s="8"/>
      <c r="H191" s="8"/>
      <c r="I191" s="8"/>
    </row>
    <row r="192" spans="1:9" x14ac:dyDescent="0.3">
      <c r="A192" s="9"/>
      <c r="B192" s="8"/>
      <c r="C192" s="17"/>
      <c r="D192" s="17"/>
      <c r="E192" s="17"/>
      <c r="F192" s="18" t="str">
        <f t="shared" si="5"/>
        <v/>
      </c>
      <c r="G192" s="8"/>
      <c r="H192" s="8"/>
      <c r="I192" s="8"/>
    </row>
    <row r="193" spans="1:9" x14ac:dyDescent="0.3">
      <c r="A193" s="9"/>
      <c r="B193" s="8"/>
      <c r="C193" s="17"/>
      <c r="D193" s="17"/>
      <c r="E193" s="17"/>
      <c r="F193" s="18" t="str">
        <f t="shared" si="5"/>
        <v/>
      </c>
      <c r="G193" s="8"/>
      <c r="H193" s="8"/>
      <c r="I193" s="8"/>
    </row>
    <row r="194" spans="1:9" x14ac:dyDescent="0.3">
      <c r="A194" s="9"/>
      <c r="B194" s="8"/>
      <c r="C194" s="17"/>
      <c r="D194" s="17"/>
      <c r="E194" s="17"/>
      <c r="F194" s="18" t="str">
        <f t="shared" si="5"/>
        <v/>
      </c>
      <c r="G194" s="8"/>
      <c r="H194" s="8"/>
      <c r="I194" s="8"/>
    </row>
    <row r="195" spans="1:9" x14ac:dyDescent="0.3">
      <c r="A195" s="9"/>
      <c r="B195" s="8"/>
      <c r="C195" s="17"/>
      <c r="D195" s="17"/>
      <c r="E195" s="17"/>
      <c r="F195" s="18" t="str">
        <f t="shared" si="5"/>
        <v/>
      </c>
      <c r="G195" s="8"/>
      <c r="H195" s="8"/>
      <c r="I195" s="8"/>
    </row>
    <row r="196" spans="1:9" x14ac:dyDescent="0.3">
      <c r="A196" s="9"/>
      <c r="B196" s="8"/>
      <c r="C196" s="17"/>
      <c r="D196" s="17"/>
      <c r="E196" s="17"/>
      <c r="F196" s="18" t="str">
        <f t="shared" si="5"/>
        <v/>
      </c>
      <c r="G196" s="8"/>
      <c r="H196" s="8"/>
      <c r="I196" s="8"/>
    </row>
    <row r="197" spans="1:9" x14ac:dyDescent="0.3">
      <c r="A197" s="9"/>
      <c r="B197" s="8"/>
      <c r="C197" s="17"/>
      <c r="D197" s="17"/>
      <c r="E197" s="17"/>
      <c r="F197" s="18" t="str">
        <f t="shared" ref="F197:F228" si="6">IF(C197="","",C197-IF(D197="",0,D197)-IF(E197="",0,E197))</f>
        <v/>
      </c>
      <c r="G197" s="8"/>
      <c r="H197" s="8"/>
      <c r="I197" s="8"/>
    </row>
    <row r="198" spans="1:9" x14ac:dyDescent="0.3">
      <c r="A198" s="9"/>
      <c r="B198" s="8"/>
      <c r="C198" s="17"/>
      <c r="D198" s="17"/>
      <c r="E198" s="17"/>
      <c r="F198" s="18" t="str">
        <f t="shared" si="6"/>
        <v/>
      </c>
      <c r="G198" s="8"/>
      <c r="H198" s="8"/>
      <c r="I198" s="8"/>
    </row>
    <row r="199" spans="1:9" x14ac:dyDescent="0.3">
      <c r="A199" s="9"/>
      <c r="B199" s="8"/>
      <c r="C199" s="17"/>
      <c r="D199" s="17"/>
      <c r="E199" s="17"/>
      <c r="F199" s="18" t="str">
        <f t="shared" si="6"/>
        <v/>
      </c>
      <c r="G199" s="8"/>
      <c r="H199" s="8"/>
      <c r="I199" s="8"/>
    </row>
    <row r="200" spans="1:9" x14ac:dyDescent="0.3">
      <c r="A200" s="9"/>
      <c r="B200" s="8"/>
      <c r="C200" s="17"/>
      <c r="D200" s="17"/>
      <c r="E200" s="17"/>
      <c r="F200" s="18" t="str">
        <f t="shared" si="6"/>
        <v/>
      </c>
      <c r="G200" s="8"/>
      <c r="H200" s="8"/>
      <c r="I200" s="8"/>
    </row>
    <row r="201" spans="1:9" x14ac:dyDescent="0.3">
      <c r="A201" s="9"/>
      <c r="B201" s="8"/>
      <c r="C201" s="17"/>
      <c r="D201" s="17"/>
      <c r="E201" s="17"/>
      <c r="F201" s="18" t="str">
        <f t="shared" si="6"/>
        <v/>
      </c>
      <c r="G201" s="8"/>
      <c r="H201" s="8"/>
      <c r="I201" s="8"/>
    </row>
    <row r="202" spans="1:9" x14ac:dyDescent="0.3">
      <c r="A202" s="9"/>
      <c r="B202" s="8"/>
      <c r="C202" s="17"/>
      <c r="D202" s="17"/>
      <c r="E202" s="17"/>
      <c r="F202" s="18" t="str">
        <f t="shared" si="6"/>
        <v/>
      </c>
      <c r="G202" s="8"/>
      <c r="H202" s="8"/>
      <c r="I202" s="8"/>
    </row>
    <row r="203" spans="1:9" x14ac:dyDescent="0.3">
      <c r="A203" s="9"/>
      <c r="B203" s="8"/>
      <c r="C203" s="17"/>
      <c r="D203" s="17"/>
      <c r="E203" s="17"/>
      <c r="F203" s="18" t="str">
        <f t="shared" si="6"/>
        <v/>
      </c>
      <c r="G203" s="8"/>
      <c r="H203" s="8"/>
      <c r="I203" s="8"/>
    </row>
    <row r="204" spans="1:9" x14ac:dyDescent="0.3">
      <c r="A204" s="9"/>
      <c r="B204" s="8"/>
      <c r="C204" s="17"/>
      <c r="D204" s="17"/>
      <c r="E204" s="17"/>
      <c r="F204" s="18" t="str">
        <f t="shared" si="6"/>
        <v/>
      </c>
      <c r="G204" s="8"/>
      <c r="H204" s="8"/>
      <c r="I204" s="8"/>
    </row>
  </sheetData>
  <autoFilter ref="A4:I204" xr:uid="{00000000-0009-0000-0000-000006000000}"/>
  <mergeCells count="2">
    <mergeCell ref="A1:I1"/>
    <mergeCell ref="A2:I2"/>
  </mergeCells>
  <dataValidations count="2">
    <dataValidation type="list" allowBlank="1" sqref="B5:B204" xr:uid="{00000000-0002-0000-0600-000000000000}">
      <formula1>ListaActivos</formula1>
    </dataValidation>
    <dataValidation type="list" allowBlank="1" sqref="G5:G204" xr:uid="{00000000-0002-0000-0600-000001000000}">
      <formula1>"SI,NO"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004"/>
  <sheetViews>
    <sheetView showGridLines="0" workbookViewId="0">
      <pane ySplit="4" topLeftCell="A5" activePane="bottomLeft" state="frozen"/>
      <selection pane="bottomLeft" sqref="A1:E1"/>
    </sheetView>
  </sheetViews>
  <sheetFormatPr baseColWidth="10" defaultColWidth="8.88671875" defaultRowHeight="14.4" x14ac:dyDescent="0.3"/>
  <cols>
    <col min="1" max="1" width="14" style="12" customWidth="1"/>
    <col min="2" max="2" width="12" style="12" customWidth="1"/>
    <col min="3" max="4" width="18" style="12" customWidth="1"/>
    <col min="5" max="5" width="48" style="12" customWidth="1"/>
  </cols>
  <sheetData>
    <row r="1" spans="1:5" ht="25.05" customHeight="1" x14ac:dyDescent="0.3">
      <c r="A1" s="34" t="s">
        <v>222</v>
      </c>
      <c r="B1" s="32"/>
      <c r="C1" s="32"/>
      <c r="D1" s="32"/>
      <c r="E1" s="32"/>
    </row>
    <row r="2" spans="1:5" ht="34.049999999999997" customHeight="1" x14ac:dyDescent="0.3">
      <c r="A2" s="31" t="s">
        <v>223</v>
      </c>
      <c r="B2" s="32"/>
      <c r="C2" s="32"/>
      <c r="D2" s="32"/>
      <c r="E2" s="32"/>
    </row>
    <row r="4" spans="1:5" ht="34.049999999999997" customHeight="1" x14ac:dyDescent="0.3">
      <c r="A4" s="1" t="s">
        <v>178</v>
      </c>
      <c r="B4" s="1" t="s">
        <v>189</v>
      </c>
      <c r="C4" s="1" t="s">
        <v>224</v>
      </c>
      <c r="D4" s="1" t="s">
        <v>225</v>
      </c>
      <c r="E4" s="1" t="s">
        <v>126</v>
      </c>
    </row>
    <row r="5" spans="1:5" x14ac:dyDescent="0.3">
      <c r="A5" s="9">
        <v>46314</v>
      </c>
      <c r="B5" s="8" t="s">
        <v>163</v>
      </c>
      <c r="C5" s="20">
        <v>770.89</v>
      </c>
      <c r="D5" s="8" t="s">
        <v>226</v>
      </c>
      <c r="E5" s="8" t="s">
        <v>227</v>
      </c>
    </row>
    <row r="6" spans="1:5" x14ac:dyDescent="0.3">
      <c r="A6" s="9">
        <v>46314</v>
      </c>
      <c r="B6" s="8" t="s">
        <v>172</v>
      </c>
      <c r="C6" s="20">
        <v>81990.929999999993</v>
      </c>
      <c r="D6" s="8" t="s">
        <v>226</v>
      </c>
      <c r="E6" s="8" t="s">
        <v>227</v>
      </c>
    </row>
    <row r="7" spans="1:5" x14ac:dyDescent="0.3">
      <c r="A7" s="9">
        <v>46314</v>
      </c>
      <c r="B7" s="8" t="s">
        <v>169</v>
      </c>
      <c r="C7" s="20">
        <v>83.38</v>
      </c>
      <c r="D7" s="8" t="s">
        <v>226</v>
      </c>
      <c r="E7" s="8"/>
    </row>
    <row r="8" spans="1:5" x14ac:dyDescent="0.3">
      <c r="A8" s="9"/>
      <c r="B8" s="8"/>
      <c r="C8" s="20"/>
      <c r="D8" s="8"/>
      <c r="E8" s="8"/>
    </row>
    <row r="9" spans="1:5" x14ac:dyDescent="0.3">
      <c r="A9" s="9"/>
      <c r="B9" s="8"/>
      <c r="C9" s="20"/>
      <c r="D9" s="8"/>
      <c r="E9" s="8"/>
    </row>
    <row r="10" spans="1:5" x14ac:dyDescent="0.3">
      <c r="A10" s="9"/>
      <c r="B10" s="8"/>
      <c r="C10" s="20"/>
      <c r="D10" s="8"/>
      <c r="E10" s="8"/>
    </row>
    <row r="11" spans="1:5" x14ac:dyDescent="0.3">
      <c r="A11" s="9"/>
      <c r="B11" s="8"/>
      <c r="C11" s="20"/>
      <c r="D11" s="8"/>
      <c r="E11" s="8"/>
    </row>
    <row r="12" spans="1:5" x14ac:dyDescent="0.3">
      <c r="A12" s="9"/>
      <c r="B12" s="8"/>
      <c r="C12" s="20"/>
      <c r="D12" s="8"/>
      <c r="E12" s="8"/>
    </row>
    <row r="13" spans="1:5" x14ac:dyDescent="0.3">
      <c r="A13" s="9"/>
      <c r="B13" s="8"/>
      <c r="C13" s="20"/>
      <c r="D13" s="8"/>
      <c r="E13" s="8"/>
    </row>
    <row r="14" spans="1:5" x14ac:dyDescent="0.3">
      <c r="A14" s="9"/>
      <c r="B14" s="8"/>
      <c r="C14" s="20"/>
      <c r="D14" s="8"/>
      <c r="E14" s="8"/>
    </row>
    <row r="15" spans="1:5" x14ac:dyDescent="0.3">
      <c r="A15" s="9"/>
      <c r="B15" s="8"/>
      <c r="C15" s="20"/>
      <c r="D15" s="8"/>
      <c r="E15" s="8"/>
    </row>
    <row r="16" spans="1:5" x14ac:dyDescent="0.3">
      <c r="A16" s="9"/>
      <c r="B16" s="8"/>
      <c r="C16" s="20"/>
      <c r="D16" s="8"/>
      <c r="E16" s="8"/>
    </row>
    <row r="17" spans="1:5" x14ac:dyDescent="0.3">
      <c r="A17" s="9"/>
      <c r="B17" s="8"/>
      <c r="C17" s="20"/>
      <c r="D17" s="8"/>
      <c r="E17" s="8"/>
    </row>
    <row r="18" spans="1:5" x14ac:dyDescent="0.3">
      <c r="A18" s="9"/>
      <c r="B18" s="8"/>
      <c r="C18" s="20"/>
      <c r="D18" s="8"/>
      <c r="E18" s="8"/>
    </row>
    <row r="19" spans="1:5" x14ac:dyDescent="0.3">
      <c r="A19" s="9"/>
      <c r="B19" s="8"/>
      <c r="C19" s="20"/>
      <c r="D19" s="8"/>
      <c r="E19" s="8"/>
    </row>
    <row r="20" spans="1:5" x14ac:dyDescent="0.3">
      <c r="A20" s="9"/>
      <c r="B20" s="8"/>
      <c r="C20" s="20"/>
      <c r="D20" s="8"/>
      <c r="E20" s="8"/>
    </row>
    <row r="21" spans="1:5" x14ac:dyDescent="0.3">
      <c r="A21" s="9"/>
      <c r="B21" s="8"/>
      <c r="C21" s="20"/>
      <c r="D21" s="8"/>
      <c r="E21" s="8"/>
    </row>
    <row r="22" spans="1:5" x14ac:dyDescent="0.3">
      <c r="A22" s="9"/>
      <c r="B22" s="8"/>
      <c r="C22" s="20"/>
      <c r="D22" s="8"/>
      <c r="E22" s="8"/>
    </row>
    <row r="23" spans="1:5" x14ac:dyDescent="0.3">
      <c r="A23" s="9"/>
      <c r="B23" s="8"/>
      <c r="C23" s="20"/>
      <c r="D23" s="8"/>
      <c r="E23" s="8"/>
    </row>
    <row r="24" spans="1:5" x14ac:dyDescent="0.3">
      <c r="A24" s="9"/>
      <c r="B24" s="8"/>
      <c r="C24" s="20"/>
      <c r="D24" s="8"/>
      <c r="E24" s="8"/>
    </row>
    <row r="25" spans="1:5" x14ac:dyDescent="0.3">
      <c r="A25" s="9"/>
      <c r="B25" s="8"/>
      <c r="C25" s="20"/>
      <c r="D25" s="8"/>
      <c r="E25" s="8"/>
    </row>
    <row r="26" spans="1:5" x14ac:dyDescent="0.3">
      <c r="A26" s="9"/>
      <c r="B26" s="8"/>
      <c r="C26" s="20"/>
      <c r="D26" s="8"/>
      <c r="E26" s="8"/>
    </row>
    <row r="27" spans="1:5" x14ac:dyDescent="0.3">
      <c r="A27" s="9"/>
      <c r="B27" s="8"/>
      <c r="C27" s="20"/>
      <c r="D27" s="8"/>
      <c r="E27" s="8"/>
    </row>
    <row r="28" spans="1:5" x14ac:dyDescent="0.3">
      <c r="A28" s="9"/>
      <c r="B28" s="8"/>
      <c r="C28" s="20"/>
      <c r="D28" s="8"/>
      <c r="E28" s="8"/>
    </row>
    <row r="29" spans="1:5" x14ac:dyDescent="0.3">
      <c r="A29" s="9"/>
      <c r="B29" s="8"/>
      <c r="C29" s="20"/>
      <c r="D29" s="8"/>
      <c r="E29" s="8"/>
    </row>
    <row r="30" spans="1:5" x14ac:dyDescent="0.3">
      <c r="A30" s="9"/>
      <c r="B30" s="8"/>
      <c r="C30" s="20"/>
      <c r="D30" s="8"/>
      <c r="E30" s="8"/>
    </row>
    <row r="31" spans="1:5" x14ac:dyDescent="0.3">
      <c r="A31" s="9"/>
      <c r="B31" s="8"/>
      <c r="C31" s="20"/>
      <c r="D31" s="8"/>
      <c r="E31" s="8"/>
    </row>
    <row r="32" spans="1:5" x14ac:dyDescent="0.3">
      <c r="A32" s="9"/>
      <c r="B32" s="8"/>
      <c r="C32" s="20"/>
      <c r="D32" s="8"/>
      <c r="E32" s="8"/>
    </row>
    <row r="33" spans="1:5" x14ac:dyDescent="0.3">
      <c r="A33" s="9"/>
      <c r="B33" s="8"/>
      <c r="C33" s="20"/>
      <c r="D33" s="8"/>
      <c r="E33" s="8"/>
    </row>
    <row r="34" spans="1:5" x14ac:dyDescent="0.3">
      <c r="A34" s="9"/>
      <c r="B34" s="8"/>
      <c r="C34" s="20"/>
      <c r="D34" s="8"/>
      <c r="E34" s="8"/>
    </row>
    <row r="35" spans="1:5" x14ac:dyDescent="0.3">
      <c r="A35" s="9"/>
      <c r="B35" s="8"/>
      <c r="C35" s="20"/>
      <c r="D35" s="8"/>
      <c r="E35" s="8"/>
    </row>
    <row r="36" spans="1:5" x14ac:dyDescent="0.3">
      <c r="A36" s="9"/>
      <c r="B36" s="8"/>
      <c r="C36" s="20"/>
      <c r="D36" s="8"/>
      <c r="E36" s="8"/>
    </row>
    <row r="37" spans="1:5" x14ac:dyDescent="0.3">
      <c r="A37" s="9"/>
      <c r="B37" s="8"/>
      <c r="C37" s="20"/>
      <c r="D37" s="8"/>
      <c r="E37" s="8"/>
    </row>
    <row r="38" spans="1:5" x14ac:dyDescent="0.3">
      <c r="A38" s="9"/>
      <c r="B38" s="8"/>
      <c r="C38" s="20"/>
      <c r="D38" s="8"/>
      <c r="E38" s="8"/>
    </row>
    <row r="39" spans="1:5" x14ac:dyDescent="0.3">
      <c r="A39" s="9"/>
      <c r="B39" s="8"/>
      <c r="C39" s="20"/>
      <c r="D39" s="8"/>
      <c r="E39" s="8"/>
    </row>
    <row r="40" spans="1:5" x14ac:dyDescent="0.3">
      <c r="A40" s="9"/>
      <c r="B40" s="8"/>
      <c r="C40" s="20"/>
      <c r="D40" s="8"/>
      <c r="E40" s="8"/>
    </row>
    <row r="41" spans="1:5" x14ac:dyDescent="0.3">
      <c r="A41" s="9"/>
      <c r="B41" s="8"/>
      <c r="C41" s="20"/>
      <c r="D41" s="8"/>
      <c r="E41" s="8"/>
    </row>
    <row r="42" spans="1:5" x14ac:dyDescent="0.3">
      <c r="A42" s="9"/>
      <c r="B42" s="8"/>
      <c r="C42" s="20"/>
      <c r="D42" s="8"/>
      <c r="E42" s="8"/>
    </row>
    <row r="43" spans="1:5" x14ac:dyDescent="0.3">
      <c r="A43" s="9"/>
      <c r="B43" s="8"/>
      <c r="C43" s="20"/>
      <c r="D43" s="8"/>
      <c r="E43" s="8"/>
    </row>
    <row r="44" spans="1:5" x14ac:dyDescent="0.3">
      <c r="A44" s="9"/>
      <c r="B44" s="8"/>
      <c r="C44" s="20"/>
      <c r="D44" s="8"/>
      <c r="E44" s="8"/>
    </row>
    <row r="45" spans="1:5" x14ac:dyDescent="0.3">
      <c r="A45" s="9"/>
      <c r="B45" s="8"/>
      <c r="C45" s="20"/>
      <c r="D45" s="8"/>
      <c r="E45" s="8"/>
    </row>
    <row r="46" spans="1:5" x14ac:dyDescent="0.3">
      <c r="A46" s="9"/>
      <c r="B46" s="8"/>
      <c r="C46" s="20"/>
      <c r="D46" s="8"/>
      <c r="E46" s="8"/>
    </row>
    <row r="47" spans="1:5" x14ac:dyDescent="0.3">
      <c r="A47" s="9"/>
      <c r="B47" s="8"/>
      <c r="C47" s="20"/>
      <c r="D47" s="8"/>
      <c r="E47" s="8"/>
    </row>
    <row r="48" spans="1:5" x14ac:dyDescent="0.3">
      <c r="A48" s="9"/>
      <c r="B48" s="8"/>
      <c r="C48" s="20"/>
      <c r="D48" s="8"/>
      <c r="E48" s="8"/>
    </row>
    <row r="49" spans="1:5" x14ac:dyDescent="0.3">
      <c r="A49" s="9"/>
      <c r="B49" s="8"/>
      <c r="C49" s="20"/>
      <c r="D49" s="8"/>
      <c r="E49" s="8"/>
    </row>
    <row r="50" spans="1:5" x14ac:dyDescent="0.3">
      <c r="A50" s="9"/>
      <c r="B50" s="8"/>
      <c r="C50" s="20"/>
      <c r="D50" s="8"/>
      <c r="E50" s="8"/>
    </row>
    <row r="51" spans="1:5" x14ac:dyDescent="0.3">
      <c r="A51" s="9"/>
      <c r="B51" s="8"/>
      <c r="C51" s="20"/>
      <c r="D51" s="8"/>
      <c r="E51" s="8"/>
    </row>
    <row r="52" spans="1:5" x14ac:dyDescent="0.3">
      <c r="A52" s="9"/>
      <c r="B52" s="8"/>
      <c r="C52" s="20"/>
      <c r="D52" s="8"/>
      <c r="E52" s="8"/>
    </row>
    <row r="53" spans="1:5" x14ac:dyDescent="0.3">
      <c r="A53" s="9"/>
      <c r="B53" s="8"/>
      <c r="C53" s="20"/>
      <c r="D53" s="8"/>
      <c r="E53" s="8"/>
    </row>
    <row r="54" spans="1:5" x14ac:dyDescent="0.3">
      <c r="A54" s="9"/>
      <c r="B54" s="8"/>
      <c r="C54" s="20"/>
      <c r="D54" s="8"/>
      <c r="E54" s="8"/>
    </row>
    <row r="55" spans="1:5" x14ac:dyDescent="0.3">
      <c r="A55" s="9"/>
      <c r="B55" s="8"/>
      <c r="C55" s="20"/>
      <c r="D55" s="8"/>
      <c r="E55" s="8"/>
    </row>
    <row r="56" spans="1:5" x14ac:dyDescent="0.3">
      <c r="A56" s="9"/>
      <c r="B56" s="8"/>
      <c r="C56" s="20"/>
      <c r="D56" s="8"/>
      <c r="E56" s="8"/>
    </row>
    <row r="57" spans="1:5" x14ac:dyDescent="0.3">
      <c r="A57" s="9"/>
      <c r="B57" s="8"/>
      <c r="C57" s="20"/>
      <c r="D57" s="8"/>
      <c r="E57" s="8"/>
    </row>
    <row r="58" spans="1:5" x14ac:dyDescent="0.3">
      <c r="A58" s="9"/>
      <c r="B58" s="8"/>
      <c r="C58" s="20"/>
      <c r="D58" s="8"/>
      <c r="E58" s="8"/>
    </row>
    <row r="59" spans="1:5" x14ac:dyDescent="0.3">
      <c r="A59" s="9"/>
      <c r="B59" s="8"/>
      <c r="C59" s="20"/>
      <c r="D59" s="8"/>
      <c r="E59" s="8"/>
    </row>
    <row r="60" spans="1:5" x14ac:dyDescent="0.3">
      <c r="A60" s="9"/>
      <c r="B60" s="8"/>
      <c r="C60" s="20"/>
      <c r="D60" s="8"/>
      <c r="E60" s="8"/>
    </row>
    <row r="61" spans="1:5" x14ac:dyDescent="0.3">
      <c r="A61" s="9"/>
      <c r="B61" s="8"/>
      <c r="C61" s="20"/>
      <c r="D61" s="8"/>
      <c r="E61" s="8"/>
    </row>
    <row r="62" spans="1:5" x14ac:dyDescent="0.3">
      <c r="A62" s="9"/>
      <c r="B62" s="8"/>
      <c r="C62" s="20"/>
      <c r="D62" s="8"/>
      <c r="E62" s="8"/>
    </row>
    <row r="63" spans="1:5" x14ac:dyDescent="0.3">
      <c r="A63" s="9"/>
      <c r="B63" s="8"/>
      <c r="C63" s="20"/>
      <c r="D63" s="8"/>
      <c r="E63" s="8"/>
    </row>
    <row r="64" spans="1:5" x14ac:dyDescent="0.3">
      <c r="A64" s="9"/>
      <c r="B64" s="8"/>
      <c r="C64" s="20"/>
      <c r="D64" s="8"/>
      <c r="E64" s="8"/>
    </row>
    <row r="65" spans="1:5" x14ac:dyDescent="0.3">
      <c r="A65" s="9"/>
      <c r="B65" s="8"/>
      <c r="C65" s="20"/>
      <c r="D65" s="8"/>
      <c r="E65" s="8"/>
    </row>
    <row r="66" spans="1:5" x14ac:dyDescent="0.3">
      <c r="A66" s="9"/>
      <c r="B66" s="8"/>
      <c r="C66" s="20"/>
      <c r="D66" s="8"/>
      <c r="E66" s="8"/>
    </row>
    <row r="67" spans="1:5" x14ac:dyDescent="0.3">
      <c r="A67" s="9"/>
      <c r="B67" s="8"/>
      <c r="C67" s="20"/>
      <c r="D67" s="8"/>
      <c r="E67" s="8"/>
    </row>
    <row r="68" spans="1:5" x14ac:dyDescent="0.3">
      <c r="A68" s="9"/>
      <c r="B68" s="8"/>
      <c r="C68" s="20"/>
      <c r="D68" s="8"/>
      <c r="E68" s="8"/>
    </row>
    <row r="69" spans="1:5" x14ac:dyDescent="0.3">
      <c r="A69" s="9"/>
      <c r="B69" s="8"/>
      <c r="C69" s="20"/>
      <c r="D69" s="8"/>
      <c r="E69" s="8"/>
    </row>
    <row r="70" spans="1:5" x14ac:dyDescent="0.3">
      <c r="A70" s="9"/>
      <c r="B70" s="8"/>
      <c r="C70" s="20"/>
      <c r="D70" s="8"/>
      <c r="E70" s="8"/>
    </row>
    <row r="71" spans="1:5" x14ac:dyDescent="0.3">
      <c r="A71" s="9"/>
      <c r="B71" s="8"/>
      <c r="C71" s="20"/>
      <c r="D71" s="8"/>
      <c r="E71" s="8"/>
    </row>
    <row r="72" spans="1:5" x14ac:dyDescent="0.3">
      <c r="A72" s="9"/>
      <c r="B72" s="8"/>
      <c r="C72" s="20"/>
      <c r="D72" s="8"/>
      <c r="E72" s="8"/>
    </row>
    <row r="73" spans="1:5" x14ac:dyDescent="0.3">
      <c r="A73" s="9"/>
      <c r="B73" s="8"/>
      <c r="C73" s="20"/>
      <c r="D73" s="8"/>
      <c r="E73" s="8"/>
    </row>
    <row r="74" spans="1:5" x14ac:dyDescent="0.3">
      <c r="A74" s="9"/>
      <c r="B74" s="8"/>
      <c r="C74" s="20"/>
      <c r="D74" s="8"/>
      <c r="E74" s="8"/>
    </row>
    <row r="75" spans="1:5" x14ac:dyDescent="0.3">
      <c r="A75" s="9"/>
      <c r="B75" s="8"/>
      <c r="C75" s="20"/>
      <c r="D75" s="8"/>
      <c r="E75" s="8"/>
    </row>
    <row r="76" spans="1:5" x14ac:dyDescent="0.3">
      <c r="A76" s="9"/>
      <c r="B76" s="8"/>
      <c r="C76" s="20"/>
      <c r="D76" s="8"/>
      <c r="E76" s="8"/>
    </row>
    <row r="77" spans="1:5" x14ac:dyDescent="0.3">
      <c r="A77" s="9"/>
      <c r="B77" s="8"/>
      <c r="C77" s="20"/>
      <c r="D77" s="8"/>
      <c r="E77" s="8"/>
    </row>
    <row r="78" spans="1:5" x14ac:dyDescent="0.3">
      <c r="A78" s="9"/>
      <c r="B78" s="8"/>
      <c r="C78" s="20"/>
      <c r="D78" s="8"/>
      <c r="E78" s="8"/>
    </row>
    <row r="79" spans="1:5" x14ac:dyDescent="0.3">
      <c r="A79" s="9"/>
      <c r="B79" s="8"/>
      <c r="C79" s="20"/>
      <c r="D79" s="8"/>
      <c r="E79" s="8"/>
    </row>
    <row r="80" spans="1:5" x14ac:dyDescent="0.3">
      <c r="A80" s="9"/>
      <c r="B80" s="8"/>
      <c r="C80" s="20"/>
      <c r="D80" s="8"/>
      <c r="E80" s="8"/>
    </row>
    <row r="81" spans="1:5" x14ac:dyDescent="0.3">
      <c r="A81" s="9"/>
      <c r="B81" s="8"/>
      <c r="C81" s="20"/>
      <c r="D81" s="8"/>
      <c r="E81" s="8"/>
    </row>
    <row r="82" spans="1:5" x14ac:dyDescent="0.3">
      <c r="A82" s="9"/>
      <c r="B82" s="8"/>
      <c r="C82" s="20"/>
      <c r="D82" s="8"/>
      <c r="E82" s="8"/>
    </row>
    <row r="83" spans="1:5" x14ac:dyDescent="0.3">
      <c r="A83" s="9"/>
      <c r="B83" s="8"/>
      <c r="C83" s="20"/>
      <c r="D83" s="8"/>
      <c r="E83" s="8"/>
    </row>
    <row r="84" spans="1:5" x14ac:dyDescent="0.3">
      <c r="A84" s="9"/>
      <c r="B84" s="8"/>
      <c r="C84" s="20"/>
      <c r="D84" s="8"/>
      <c r="E84" s="8"/>
    </row>
    <row r="85" spans="1:5" x14ac:dyDescent="0.3">
      <c r="A85" s="9"/>
      <c r="B85" s="8"/>
      <c r="C85" s="20"/>
      <c r="D85" s="8"/>
      <c r="E85" s="8"/>
    </row>
    <row r="86" spans="1:5" x14ac:dyDescent="0.3">
      <c r="A86" s="9"/>
      <c r="B86" s="8"/>
      <c r="C86" s="20"/>
      <c r="D86" s="8"/>
      <c r="E86" s="8"/>
    </row>
    <row r="87" spans="1:5" x14ac:dyDescent="0.3">
      <c r="A87" s="9"/>
      <c r="B87" s="8"/>
      <c r="C87" s="20"/>
      <c r="D87" s="8"/>
      <c r="E87" s="8"/>
    </row>
    <row r="88" spans="1:5" x14ac:dyDescent="0.3">
      <c r="A88" s="9"/>
      <c r="B88" s="8"/>
      <c r="C88" s="20"/>
      <c r="D88" s="8"/>
      <c r="E88" s="8"/>
    </row>
    <row r="89" spans="1:5" x14ac:dyDescent="0.3">
      <c r="A89" s="9"/>
      <c r="B89" s="8"/>
      <c r="C89" s="20"/>
      <c r="D89" s="8"/>
      <c r="E89" s="8"/>
    </row>
    <row r="90" spans="1:5" x14ac:dyDescent="0.3">
      <c r="A90" s="9"/>
      <c r="B90" s="8"/>
      <c r="C90" s="20"/>
      <c r="D90" s="8"/>
      <c r="E90" s="8"/>
    </row>
    <row r="91" spans="1:5" x14ac:dyDescent="0.3">
      <c r="A91" s="9"/>
      <c r="B91" s="8"/>
      <c r="C91" s="20"/>
      <c r="D91" s="8"/>
      <c r="E91" s="8"/>
    </row>
    <row r="92" spans="1:5" x14ac:dyDescent="0.3">
      <c r="A92" s="9"/>
      <c r="B92" s="8"/>
      <c r="C92" s="20"/>
      <c r="D92" s="8"/>
      <c r="E92" s="8"/>
    </row>
    <row r="93" spans="1:5" x14ac:dyDescent="0.3">
      <c r="A93" s="9"/>
      <c r="B93" s="8"/>
      <c r="C93" s="20"/>
      <c r="D93" s="8"/>
      <c r="E93" s="8"/>
    </row>
    <row r="94" spans="1:5" x14ac:dyDescent="0.3">
      <c r="A94" s="9"/>
      <c r="B94" s="8"/>
      <c r="C94" s="20"/>
      <c r="D94" s="8"/>
      <c r="E94" s="8"/>
    </row>
    <row r="95" spans="1:5" x14ac:dyDescent="0.3">
      <c r="A95" s="9"/>
      <c r="B95" s="8"/>
      <c r="C95" s="20"/>
      <c r="D95" s="8"/>
      <c r="E95" s="8"/>
    </row>
    <row r="96" spans="1:5" x14ac:dyDescent="0.3">
      <c r="A96" s="9"/>
      <c r="B96" s="8"/>
      <c r="C96" s="20"/>
      <c r="D96" s="8"/>
      <c r="E96" s="8"/>
    </row>
    <row r="97" spans="1:5" x14ac:dyDescent="0.3">
      <c r="A97" s="9"/>
      <c r="B97" s="8"/>
      <c r="C97" s="20"/>
      <c r="D97" s="8"/>
      <c r="E97" s="8"/>
    </row>
    <row r="98" spans="1:5" x14ac:dyDescent="0.3">
      <c r="A98" s="9"/>
      <c r="B98" s="8"/>
      <c r="C98" s="20"/>
      <c r="D98" s="8"/>
      <c r="E98" s="8"/>
    </row>
    <row r="99" spans="1:5" x14ac:dyDescent="0.3">
      <c r="A99" s="9"/>
      <c r="B99" s="8"/>
      <c r="C99" s="20"/>
      <c r="D99" s="8"/>
      <c r="E99" s="8"/>
    </row>
    <row r="100" spans="1:5" x14ac:dyDescent="0.3">
      <c r="A100" s="9"/>
      <c r="B100" s="8"/>
      <c r="C100" s="20"/>
      <c r="D100" s="8"/>
      <c r="E100" s="8"/>
    </row>
    <row r="101" spans="1:5" x14ac:dyDescent="0.3">
      <c r="A101" s="9"/>
      <c r="B101" s="8"/>
      <c r="C101" s="20"/>
      <c r="D101" s="8"/>
      <c r="E101" s="8"/>
    </row>
    <row r="102" spans="1:5" x14ac:dyDescent="0.3">
      <c r="A102" s="9"/>
      <c r="B102" s="8"/>
      <c r="C102" s="20"/>
      <c r="D102" s="8"/>
      <c r="E102" s="8"/>
    </row>
    <row r="103" spans="1:5" x14ac:dyDescent="0.3">
      <c r="A103" s="9"/>
      <c r="B103" s="8"/>
      <c r="C103" s="20"/>
      <c r="D103" s="8"/>
      <c r="E103" s="8"/>
    </row>
    <row r="104" spans="1:5" x14ac:dyDescent="0.3">
      <c r="A104" s="9"/>
      <c r="B104" s="8"/>
      <c r="C104" s="20"/>
      <c r="D104" s="8"/>
      <c r="E104" s="8"/>
    </row>
    <row r="105" spans="1:5" x14ac:dyDescent="0.3">
      <c r="A105" s="9"/>
      <c r="B105" s="8"/>
      <c r="C105" s="20"/>
      <c r="D105" s="8"/>
      <c r="E105" s="8"/>
    </row>
    <row r="106" spans="1:5" x14ac:dyDescent="0.3">
      <c r="A106" s="9"/>
      <c r="B106" s="8"/>
      <c r="C106" s="20"/>
      <c r="D106" s="8"/>
      <c r="E106" s="8"/>
    </row>
    <row r="107" spans="1:5" x14ac:dyDescent="0.3">
      <c r="A107" s="9"/>
      <c r="B107" s="8"/>
      <c r="C107" s="20"/>
      <c r="D107" s="8"/>
      <c r="E107" s="8"/>
    </row>
    <row r="108" spans="1:5" x14ac:dyDescent="0.3">
      <c r="A108" s="9"/>
      <c r="B108" s="8"/>
      <c r="C108" s="20"/>
      <c r="D108" s="8"/>
      <c r="E108" s="8"/>
    </row>
    <row r="109" spans="1:5" x14ac:dyDescent="0.3">
      <c r="A109" s="9"/>
      <c r="B109" s="8"/>
      <c r="C109" s="20"/>
      <c r="D109" s="8"/>
      <c r="E109" s="8"/>
    </row>
    <row r="110" spans="1:5" x14ac:dyDescent="0.3">
      <c r="A110" s="9"/>
      <c r="B110" s="8"/>
      <c r="C110" s="20"/>
      <c r="D110" s="8"/>
      <c r="E110" s="8"/>
    </row>
    <row r="111" spans="1:5" x14ac:dyDescent="0.3">
      <c r="A111" s="9"/>
      <c r="B111" s="8"/>
      <c r="C111" s="20"/>
      <c r="D111" s="8"/>
      <c r="E111" s="8"/>
    </row>
    <row r="112" spans="1:5" x14ac:dyDescent="0.3">
      <c r="A112" s="9"/>
      <c r="B112" s="8"/>
      <c r="C112" s="20"/>
      <c r="D112" s="8"/>
      <c r="E112" s="8"/>
    </row>
    <row r="113" spans="1:5" x14ac:dyDescent="0.3">
      <c r="A113" s="9"/>
      <c r="B113" s="8"/>
      <c r="C113" s="20"/>
      <c r="D113" s="8"/>
      <c r="E113" s="8"/>
    </row>
    <row r="114" spans="1:5" x14ac:dyDescent="0.3">
      <c r="A114" s="9"/>
      <c r="B114" s="8"/>
      <c r="C114" s="20"/>
      <c r="D114" s="8"/>
      <c r="E114" s="8"/>
    </row>
    <row r="115" spans="1:5" x14ac:dyDescent="0.3">
      <c r="A115" s="9"/>
      <c r="B115" s="8"/>
      <c r="C115" s="20"/>
      <c r="D115" s="8"/>
      <c r="E115" s="8"/>
    </row>
    <row r="116" spans="1:5" x14ac:dyDescent="0.3">
      <c r="A116" s="9"/>
      <c r="B116" s="8"/>
      <c r="C116" s="20"/>
      <c r="D116" s="8"/>
      <c r="E116" s="8"/>
    </row>
    <row r="117" spans="1:5" x14ac:dyDescent="0.3">
      <c r="A117" s="9"/>
      <c r="B117" s="8"/>
      <c r="C117" s="20"/>
      <c r="D117" s="8"/>
      <c r="E117" s="8"/>
    </row>
    <row r="118" spans="1:5" x14ac:dyDescent="0.3">
      <c r="A118" s="9"/>
      <c r="B118" s="8"/>
      <c r="C118" s="20"/>
      <c r="D118" s="8"/>
      <c r="E118" s="8"/>
    </row>
    <row r="119" spans="1:5" x14ac:dyDescent="0.3">
      <c r="A119" s="9"/>
      <c r="B119" s="8"/>
      <c r="C119" s="20"/>
      <c r="D119" s="8"/>
      <c r="E119" s="8"/>
    </row>
    <row r="120" spans="1:5" x14ac:dyDescent="0.3">
      <c r="A120" s="9"/>
      <c r="B120" s="8"/>
      <c r="C120" s="20"/>
      <c r="D120" s="8"/>
      <c r="E120" s="8"/>
    </row>
    <row r="121" spans="1:5" x14ac:dyDescent="0.3">
      <c r="A121" s="9"/>
      <c r="B121" s="8"/>
      <c r="C121" s="20"/>
      <c r="D121" s="8"/>
      <c r="E121" s="8"/>
    </row>
    <row r="122" spans="1:5" x14ac:dyDescent="0.3">
      <c r="A122" s="9"/>
      <c r="B122" s="8"/>
      <c r="C122" s="20"/>
      <c r="D122" s="8"/>
      <c r="E122" s="8"/>
    </row>
    <row r="123" spans="1:5" x14ac:dyDescent="0.3">
      <c r="A123" s="9"/>
      <c r="B123" s="8"/>
      <c r="C123" s="20"/>
      <c r="D123" s="8"/>
      <c r="E123" s="8"/>
    </row>
    <row r="124" spans="1:5" x14ac:dyDescent="0.3">
      <c r="A124" s="9"/>
      <c r="B124" s="8"/>
      <c r="C124" s="20"/>
      <c r="D124" s="8"/>
      <c r="E124" s="8"/>
    </row>
    <row r="125" spans="1:5" x14ac:dyDescent="0.3">
      <c r="A125" s="9"/>
      <c r="B125" s="8"/>
      <c r="C125" s="20"/>
      <c r="D125" s="8"/>
      <c r="E125" s="8"/>
    </row>
    <row r="126" spans="1:5" x14ac:dyDescent="0.3">
      <c r="A126" s="9"/>
      <c r="B126" s="8"/>
      <c r="C126" s="20"/>
      <c r="D126" s="8"/>
      <c r="E126" s="8"/>
    </row>
    <row r="127" spans="1:5" x14ac:dyDescent="0.3">
      <c r="A127" s="9"/>
      <c r="B127" s="8"/>
      <c r="C127" s="20"/>
      <c r="D127" s="8"/>
      <c r="E127" s="8"/>
    </row>
    <row r="128" spans="1:5" x14ac:dyDescent="0.3">
      <c r="A128" s="9"/>
      <c r="B128" s="8"/>
      <c r="C128" s="20"/>
      <c r="D128" s="8"/>
      <c r="E128" s="8"/>
    </row>
    <row r="129" spans="1:5" x14ac:dyDescent="0.3">
      <c r="A129" s="9"/>
      <c r="B129" s="8"/>
      <c r="C129" s="20"/>
      <c r="D129" s="8"/>
      <c r="E129" s="8"/>
    </row>
    <row r="130" spans="1:5" x14ac:dyDescent="0.3">
      <c r="A130" s="9"/>
      <c r="B130" s="8"/>
      <c r="C130" s="20"/>
      <c r="D130" s="8"/>
      <c r="E130" s="8"/>
    </row>
    <row r="131" spans="1:5" x14ac:dyDescent="0.3">
      <c r="A131" s="9"/>
      <c r="B131" s="8"/>
      <c r="C131" s="20"/>
      <c r="D131" s="8"/>
      <c r="E131" s="8"/>
    </row>
    <row r="132" spans="1:5" x14ac:dyDescent="0.3">
      <c r="A132" s="9"/>
      <c r="B132" s="8"/>
      <c r="C132" s="20"/>
      <c r="D132" s="8"/>
      <c r="E132" s="8"/>
    </row>
    <row r="133" spans="1:5" x14ac:dyDescent="0.3">
      <c r="A133" s="9"/>
      <c r="B133" s="8"/>
      <c r="C133" s="20"/>
      <c r="D133" s="8"/>
      <c r="E133" s="8"/>
    </row>
    <row r="134" spans="1:5" x14ac:dyDescent="0.3">
      <c r="A134" s="9"/>
      <c r="B134" s="8"/>
      <c r="C134" s="20"/>
      <c r="D134" s="8"/>
      <c r="E134" s="8"/>
    </row>
    <row r="135" spans="1:5" x14ac:dyDescent="0.3">
      <c r="A135" s="9"/>
      <c r="B135" s="8"/>
      <c r="C135" s="20"/>
      <c r="D135" s="8"/>
      <c r="E135" s="8"/>
    </row>
    <row r="136" spans="1:5" x14ac:dyDescent="0.3">
      <c r="A136" s="9"/>
      <c r="B136" s="8"/>
      <c r="C136" s="20"/>
      <c r="D136" s="8"/>
      <c r="E136" s="8"/>
    </row>
    <row r="137" spans="1:5" x14ac:dyDescent="0.3">
      <c r="A137" s="9"/>
      <c r="B137" s="8"/>
      <c r="C137" s="20"/>
      <c r="D137" s="8"/>
      <c r="E137" s="8"/>
    </row>
    <row r="138" spans="1:5" x14ac:dyDescent="0.3">
      <c r="A138" s="9"/>
      <c r="B138" s="8"/>
      <c r="C138" s="20"/>
      <c r="D138" s="8"/>
      <c r="E138" s="8"/>
    </row>
    <row r="139" spans="1:5" x14ac:dyDescent="0.3">
      <c r="A139" s="9"/>
      <c r="B139" s="8"/>
      <c r="C139" s="20"/>
      <c r="D139" s="8"/>
      <c r="E139" s="8"/>
    </row>
    <row r="140" spans="1:5" x14ac:dyDescent="0.3">
      <c r="A140" s="9"/>
      <c r="B140" s="8"/>
      <c r="C140" s="20"/>
      <c r="D140" s="8"/>
      <c r="E140" s="8"/>
    </row>
    <row r="141" spans="1:5" x14ac:dyDescent="0.3">
      <c r="A141" s="9"/>
      <c r="B141" s="8"/>
      <c r="C141" s="20"/>
      <c r="D141" s="8"/>
      <c r="E141" s="8"/>
    </row>
    <row r="142" spans="1:5" x14ac:dyDescent="0.3">
      <c r="A142" s="9"/>
      <c r="B142" s="8"/>
      <c r="C142" s="20"/>
      <c r="D142" s="8"/>
      <c r="E142" s="8"/>
    </row>
    <row r="143" spans="1:5" x14ac:dyDescent="0.3">
      <c r="A143" s="9"/>
      <c r="B143" s="8"/>
      <c r="C143" s="20"/>
      <c r="D143" s="8"/>
      <c r="E143" s="8"/>
    </row>
    <row r="144" spans="1:5" x14ac:dyDescent="0.3">
      <c r="A144" s="9"/>
      <c r="B144" s="8"/>
      <c r="C144" s="20"/>
      <c r="D144" s="8"/>
      <c r="E144" s="8"/>
    </row>
    <row r="145" spans="1:5" x14ac:dyDescent="0.3">
      <c r="A145" s="9"/>
      <c r="B145" s="8"/>
      <c r="C145" s="20"/>
      <c r="D145" s="8"/>
      <c r="E145" s="8"/>
    </row>
    <row r="146" spans="1:5" x14ac:dyDescent="0.3">
      <c r="A146" s="9"/>
      <c r="B146" s="8"/>
      <c r="C146" s="20"/>
      <c r="D146" s="8"/>
      <c r="E146" s="8"/>
    </row>
    <row r="147" spans="1:5" x14ac:dyDescent="0.3">
      <c r="A147" s="9"/>
      <c r="B147" s="8"/>
      <c r="C147" s="20"/>
      <c r="D147" s="8"/>
      <c r="E147" s="8"/>
    </row>
    <row r="148" spans="1:5" x14ac:dyDescent="0.3">
      <c r="A148" s="9"/>
      <c r="B148" s="8"/>
      <c r="C148" s="20"/>
      <c r="D148" s="8"/>
      <c r="E148" s="8"/>
    </row>
    <row r="149" spans="1:5" x14ac:dyDescent="0.3">
      <c r="A149" s="9"/>
      <c r="B149" s="8"/>
      <c r="C149" s="20"/>
      <c r="D149" s="8"/>
      <c r="E149" s="8"/>
    </row>
    <row r="150" spans="1:5" x14ac:dyDescent="0.3">
      <c r="A150" s="9"/>
      <c r="B150" s="8"/>
      <c r="C150" s="20"/>
      <c r="D150" s="8"/>
      <c r="E150" s="8"/>
    </row>
    <row r="151" spans="1:5" x14ac:dyDescent="0.3">
      <c r="A151" s="9"/>
      <c r="B151" s="8"/>
      <c r="C151" s="20"/>
      <c r="D151" s="8"/>
      <c r="E151" s="8"/>
    </row>
    <row r="152" spans="1:5" x14ac:dyDescent="0.3">
      <c r="A152" s="9"/>
      <c r="B152" s="8"/>
      <c r="C152" s="20"/>
      <c r="D152" s="8"/>
      <c r="E152" s="8"/>
    </row>
    <row r="153" spans="1:5" x14ac:dyDescent="0.3">
      <c r="A153" s="9"/>
      <c r="B153" s="8"/>
      <c r="C153" s="20"/>
      <c r="D153" s="8"/>
      <c r="E153" s="8"/>
    </row>
    <row r="154" spans="1:5" x14ac:dyDescent="0.3">
      <c r="A154" s="9"/>
      <c r="B154" s="8"/>
      <c r="C154" s="20"/>
      <c r="D154" s="8"/>
      <c r="E154" s="8"/>
    </row>
    <row r="155" spans="1:5" x14ac:dyDescent="0.3">
      <c r="A155" s="9"/>
      <c r="B155" s="8"/>
      <c r="C155" s="20"/>
      <c r="D155" s="8"/>
      <c r="E155" s="8"/>
    </row>
    <row r="156" spans="1:5" x14ac:dyDescent="0.3">
      <c r="A156" s="9"/>
      <c r="B156" s="8"/>
      <c r="C156" s="20"/>
      <c r="D156" s="8"/>
      <c r="E156" s="8"/>
    </row>
    <row r="157" spans="1:5" x14ac:dyDescent="0.3">
      <c r="A157" s="9"/>
      <c r="B157" s="8"/>
      <c r="C157" s="20"/>
      <c r="D157" s="8"/>
      <c r="E157" s="8"/>
    </row>
    <row r="158" spans="1:5" x14ac:dyDescent="0.3">
      <c r="A158" s="9"/>
      <c r="B158" s="8"/>
      <c r="C158" s="20"/>
      <c r="D158" s="8"/>
      <c r="E158" s="8"/>
    </row>
    <row r="159" spans="1:5" x14ac:dyDescent="0.3">
      <c r="A159" s="9"/>
      <c r="B159" s="8"/>
      <c r="C159" s="20"/>
      <c r="D159" s="8"/>
      <c r="E159" s="8"/>
    </row>
    <row r="160" spans="1:5" x14ac:dyDescent="0.3">
      <c r="A160" s="9"/>
      <c r="B160" s="8"/>
      <c r="C160" s="20"/>
      <c r="D160" s="8"/>
      <c r="E160" s="8"/>
    </row>
    <row r="161" spans="1:5" x14ac:dyDescent="0.3">
      <c r="A161" s="9"/>
      <c r="B161" s="8"/>
      <c r="C161" s="20"/>
      <c r="D161" s="8"/>
      <c r="E161" s="8"/>
    </row>
    <row r="162" spans="1:5" x14ac:dyDescent="0.3">
      <c r="A162" s="9"/>
      <c r="B162" s="8"/>
      <c r="C162" s="20"/>
      <c r="D162" s="8"/>
      <c r="E162" s="8"/>
    </row>
    <row r="163" spans="1:5" x14ac:dyDescent="0.3">
      <c r="A163" s="9"/>
      <c r="B163" s="8"/>
      <c r="C163" s="20"/>
      <c r="D163" s="8"/>
      <c r="E163" s="8"/>
    </row>
    <row r="164" spans="1:5" x14ac:dyDescent="0.3">
      <c r="A164" s="9"/>
      <c r="B164" s="8"/>
      <c r="C164" s="20"/>
      <c r="D164" s="8"/>
      <c r="E164" s="8"/>
    </row>
    <row r="165" spans="1:5" x14ac:dyDescent="0.3">
      <c r="A165" s="9"/>
      <c r="B165" s="8"/>
      <c r="C165" s="20"/>
      <c r="D165" s="8"/>
      <c r="E165" s="8"/>
    </row>
    <row r="166" spans="1:5" x14ac:dyDescent="0.3">
      <c r="A166" s="9"/>
      <c r="B166" s="8"/>
      <c r="C166" s="20"/>
      <c r="D166" s="8"/>
      <c r="E166" s="8"/>
    </row>
    <row r="167" spans="1:5" x14ac:dyDescent="0.3">
      <c r="A167" s="9"/>
      <c r="B167" s="8"/>
      <c r="C167" s="20"/>
      <c r="D167" s="8"/>
      <c r="E167" s="8"/>
    </row>
    <row r="168" spans="1:5" x14ac:dyDescent="0.3">
      <c r="A168" s="9"/>
      <c r="B168" s="8"/>
      <c r="C168" s="20"/>
      <c r="D168" s="8"/>
      <c r="E168" s="8"/>
    </row>
    <row r="169" spans="1:5" x14ac:dyDescent="0.3">
      <c r="A169" s="9"/>
      <c r="B169" s="8"/>
      <c r="C169" s="20"/>
      <c r="D169" s="8"/>
      <c r="E169" s="8"/>
    </row>
    <row r="170" spans="1:5" x14ac:dyDescent="0.3">
      <c r="A170" s="9"/>
      <c r="B170" s="8"/>
      <c r="C170" s="20"/>
      <c r="D170" s="8"/>
      <c r="E170" s="8"/>
    </row>
    <row r="171" spans="1:5" x14ac:dyDescent="0.3">
      <c r="A171" s="9"/>
      <c r="B171" s="8"/>
      <c r="C171" s="20"/>
      <c r="D171" s="8"/>
      <c r="E171" s="8"/>
    </row>
    <row r="172" spans="1:5" x14ac:dyDescent="0.3">
      <c r="A172" s="9"/>
      <c r="B172" s="8"/>
      <c r="C172" s="20"/>
      <c r="D172" s="8"/>
      <c r="E172" s="8"/>
    </row>
    <row r="173" spans="1:5" x14ac:dyDescent="0.3">
      <c r="A173" s="9"/>
      <c r="B173" s="8"/>
      <c r="C173" s="20"/>
      <c r="D173" s="8"/>
      <c r="E173" s="8"/>
    </row>
    <row r="174" spans="1:5" x14ac:dyDescent="0.3">
      <c r="A174" s="9"/>
      <c r="B174" s="8"/>
      <c r="C174" s="20"/>
      <c r="D174" s="8"/>
      <c r="E174" s="8"/>
    </row>
    <row r="175" spans="1:5" x14ac:dyDescent="0.3">
      <c r="A175" s="9"/>
      <c r="B175" s="8"/>
      <c r="C175" s="20"/>
      <c r="D175" s="8"/>
      <c r="E175" s="8"/>
    </row>
    <row r="176" spans="1:5" x14ac:dyDescent="0.3">
      <c r="A176" s="9"/>
      <c r="B176" s="8"/>
      <c r="C176" s="20"/>
      <c r="D176" s="8"/>
      <c r="E176" s="8"/>
    </row>
    <row r="177" spans="1:5" x14ac:dyDescent="0.3">
      <c r="A177" s="9"/>
      <c r="B177" s="8"/>
      <c r="C177" s="20"/>
      <c r="D177" s="8"/>
      <c r="E177" s="8"/>
    </row>
    <row r="178" spans="1:5" x14ac:dyDescent="0.3">
      <c r="A178" s="9"/>
      <c r="B178" s="8"/>
      <c r="C178" s="20"/>
      <c r="D178" s="8"/>
      <c r="E178" s="8"/>
    </row>
    <row r="179" spans="1:5" x14ac:dyDescent="0.3">
      <c r="A179" s="9"/>
      <c r="B179" s="8"/>
      <c r="C179" s="20"/>
      <c r="D179" s="8"/>
      <c r="E179" s="8"/>
    </row>
    <row r="180" spans="1:5" x14ac:dyDescent="0.3">
      <c r="A180" s="9"/>
      <c r="B180" s="8"/>
      <c r="C180" s="20"/>
      <c r="D180" s="8"/>
      <c r="E180" s="8"/>
    </row>
    <row r="181" spans="1:5" x14ac:dyDescent="0.3">
      <c r="A181" s="9"/>
      <c r="B181" s="8"/>
      <c r="C181" s="20"/>
      <c r="D181" s="8"/>
      <c r="E181" s="8"/>
    </row>
    <row r="182" spans="1:5" x14ac:dyDescent="0.3">
      <c r="A182" s="9"/>
      <c r="B182" s="8"/>
      <c r="C182" s="20"/>
      <c r="D182" s="8"/>
      <c r="E182" s="8"/>
    </row>
    <row r="183" spans="1:5" x14ac:dyDescent="0.3">
      <c r="A183" s="9"/>
      <c r="B183" s="8"/>
      <c r="C183" s="20"/>
      <c r="D183" s="8"/>
      <c r="E183" s="8"/>
    </row>
    <row r="184" spans="1:5" x14ac:dyDescent="0.3">
      <c r="A184" s="9"/>
      <c r="B184" s="8"/>
      <c r="C184" s="20"/>
      <c r="D184" s="8"/>
      <c r="E184" s="8"/>
    </row>
    <row r="185" spans="1:5" x14ac:dyDescent="0.3">
      <c r="A185" s="9"/>
      <c r="B185" s="8"/>
      <c r="C185" s="20"/>
      <c r="D185" s="8"/>
      <c r="E185" s="8"/>
    </row>
    <row r="186" spans="1:5" x14ac:dyDescent="0.3">
      <c r="A186" s="9"/>
      <c r="B186" s="8"/>
      <c r="C186" s="20"/>
      <c r="D186" s="8"/>
      <c r="E186" s="8"/>
    </row>
    <row r="187" spans="1:5" x14ac:dyDescent="0.3">
      <c r="A187" s="9"/>
      <c r="B187" s="8"/>
      <c r="C187" s="20"/>
      <c r="D187" s="8"/>
      <c r="E187" s="8"/>
    </row>
    <row r="188" spans="1:5" x14ac:dyDescent="0.3">
      <c r="A188" s="9"/>
      <c r="B188" s="8"/>
      <c r="C188" s="20"/>
      <c r="D188" s="8"/>
      <c r="E188" s="8"/>
    </row>
    <row r="189" spans="1:5" x14ac:dyDescent="0.3">
      <c r="A189" s="9"/>
      <c r="B189" s="8"/>
      <c r="C189" s="20"/>
      <c r="D189" s="8"/>
      <c r="E189" s="8"/>
    </row>
    <row r="190" spans="1:5" x14ac:dyDescent="0.3">
      <c r="A190" s="9"/>
      <c r="B190" s="8"/>
      <c r="C190" s="20"/>
      <c r="D190" s="8"/>
      <c r="E190" s="8"/>
    </row>
    <row r="191" spans="1:5" x14ac:dyDescent="0.3">
      <c r="A191" s="9"/>
      <c r="B191" s="8"/>
      <c r="C191" s="20"/>
      <c r="D191" s="8"/>
      <c r="E191" s="8"/>
    </row>
    <row r="192" spans="1:5" x14ac:dyDescent="0.3">
      <c r="A192" s="9"/>
      <c r="B192" s="8"/>
      <c r="C192" s="20"/>
      <c r="D192" s="8"/>
      <c r="E192" s="8"/>
    </row>
    <row r="193" spans="1:5" x14ac:dyDescent="0.3">
      <c r="A193" s="9"/>
      <c r="B193" s="8"/>
      <c r="C193" s="20"/>
      <c r="D193" s="8"/>
      <c r="E193" s="8"/>
    </row>
    <row r="194" spans="1:5" x14ac:dyDescent="0.3">
      <c r="A194" s="9"/>
      <c r="B194" s="8"/>
      <c r="C194" s="20"/>
      <c r="D194" s="8"/>
      <c r="E194" s="8"/>
    </row>
    <row r="195" spans="1:5" x14ac:dyDescent="0.3">
      <c r="A195" s="9"/>
      <c r="B195" s="8"/>
      <c r="C195" s="20"/>
      <c r="D195" s="8"/>
      <c r="E195" s="8"/>
    </row>
    <row r="196" spans="1:5" x14ac:dyDescent="0.3">
      <c r="A196" s="9"/>
      <c r="B196" s="8"/>
      <c r="C196" s="20"/>
      <c r="D196" s="8"/>
      <c r="E196" s="8"/>
    </row>
    <row r="197" spans="1:5" x14ac:dyDescent="0.3">
      <c r="A197" s="9"/>
      <c r="B197" s="8"/>
      <c r="C197" s="20"/>
      <c r="D197" s="8"/>
      <c r="E197" s="8"/>
    </row>
    <row r="198" spans="1:5" x14ac:dyDescent="0.3">
      <c r="A198" s="9"/>
      <c r="B198" s="8"/>
      <c r="C198" s="20"/>
      <c r="D198" s="8"/>
      <c r="E198" s="8"/>
    </row>
    <row r="199" spans="1:5" x14ac:dyDescent="0.3">
      <c r="A199" s="9"/>
      <c r="B199" s="8"/>
      <c r="C199" s="20"/>
      <c r="D199" s="8"/>
      <c r="E199" s="8"/>
    </row>
    <row r="200" spans="1:5" x14ac:dyDescent="0.3">
      <c r="A200" s="9"/>
      <c r="B200" s="8"/>
      <c r="C200" s="20"/>
      <c r="D200" s="8"/>
      <c r="E200" s="8"/>
    </row>
    <row r="201" spans="1:5" x14ac:dyDescent="0.3">
      <c r="A201" s="9"/>
      <c r="B201" s="8"/>
      <c r="C201" s="20"/>
      <c r="D201" s="8"/>
      <c r="E201" s="8"/>
    </row>
    <row r="202" spans="1:5" x14ac:dyDescent="0.3">
      <c r="A202" s="9"/>
      <c r="B202" s="8"/>
      <c r="C202" s="20"/>
      <c r="D202" s="8"/>
      <c r="E202" s="8"/>
    </row>
    <row r="203" spans="1:5" x14ac:dyDescent="0.3">
      <c r="A203" s="9"/>
      <c r="B203" s="8"/>
      <c r="C203" s="20"/>
      <c r="D203" s="8"/>
      <c r="E203" s="8"/>
    </row>
    <row r="204" spans="1:5" x14ac:dyDescent="0.3">
      <c r="A204" s="9"/>
      <c r="B204" s="8"/>
      <c r="C204" s="20"/>
      <c r="D204" s="8"/>
      <c r="E204" s="8"/>
    </row>
    <row r="205" spans="1:5" x14ac:dyDescent="0.3">
      <c r="A205" s="9"/>
      <c r="B205" s="8"/>
      <c r="C205" s="20"/>
      <c r="D205" s="8"/>
      <c r="E205" s="8"/>
    </row>
    <row r="206" spans="1:5" x14ac:dyDescent="0.3">
      <c r="A206" s="9"/>
      <c r="B206" s="8"/>
      <c r="C206" s="20"/>
      <c r="D206" s="8"/>
      <c r="E206" s="8"/>
    </row>
    <row r="207" spans="1:5" x14ac:dyDescent="0.3">
      <c r="A207" s="9"/>
      <c r="B207" s="8"/>
      <c r="C207" s="20"/>
      <c r="D207" s="8"/>
      <c r="E207" s="8"/>
    </row>
    <row r="208" spans="1:5" x14ac:dyDescent="0.3">
      <c r="A208" s="9"/>
      <c r="B208" s="8"/>
      <c r="C208" s="20"/>
      <c r="D208" s="8"/>
      <c r="E208" s="8"/>
    </row>
    <row r="209" spans="1:5" x14ac:dyDescent="0.3">
      <c r="A209" s="9"/>
      <c r="B209" s="8"/>
      <c r="C209" s="20"/>
      <c r="D209" s="8"/>
      <c r="E209" s="8"/>
    </row>
    <row r="210" spans="1:5" x14ac:dyDescent="0.3">
      <c r="A210" s="9"/>
      <c r="B210" s="8"/>
      <c r="C210" s="20"/>
      <c r="D210" s="8"/>
      <c r="E210" s="8"/>
    </row>
    <row r="211" spans="1:5" x14ac:dyDescent="0.3">
      <c r="A211" s="9"/>
      <c r="B211" s="8"/>
      <c r="C211" s="20"/>
      <c r="D211" s="8"/>
      <c r="E211" s="8"/>
    </row>
    <row r="212" spans="1:5" x14ac:dyDescent="0.3">
      <c r="A212" s="9"/>
      <c r="B212" s="8"/>
      <c r="C212" s="20"/>
      <c r="D212" s="8"/>
      <c r="E212" s="8"/>
    </row>
    <row r="213" spans="1:5" x14ac:dyDescent="0.3">
      <c r="A213" s="9"/>
      <c r="B213" s="8"/>
      <c r="C213" s="20"/>
      <c r="D213" s="8"/>
      <c r="E213" s="8"/>
    </row>
    <row r="214" spans="1:5" x14ac:dyDescent="0.3">
      <c r="A214" s="9"/>
      <c r="B214" s="8"/>
      <c r="C214" s="20"/>
      <c r="D214" s="8"/>
      <c r="E214" s="8"/>
    </row>
    <row r="215" spans="1:5" x14ac:dyDescent="0.3">
      <c r="A215" s="9"/>
      <c r="B215" s="8"/>
      <c r="C215" s="20"/>
      <c r="D215" s="8"/>
      <c r="E215" s="8"/>
    </row>
    <row r="216" spans="1:5" x14ac:dyDescent="0.3">
      <c r="A216" s="9"/>
      <c r="B216" s="8"/>
      <c r="C216" s="20"/>
      <c r="D216" s="8"/>
      <c r="E216" s="8"/>
    </row>
    <row r="217" spans="1:5" x14ac:dyDescent="0.3">
      <c r="A217" s="9"/>
      <c r="B217" s="8"/>
      <c r="C217" s="20"/>
      <c r="D217" s="8"/>
      <c r="E217" s="8"/>
    </row>
    <row r="218" spans="1:5" x14ac:dyDescent="0.3">
      <c r="A218" s="9"/>
      <c r="B218" s="8"/>
      <c r="C218" s="20"/>
      <c r="D218" s="8"/>
      <c r="E218" s="8"/>
    </row>
    <row r="219" spans="1:5" x14ac:dyDescent="0.3">
      <c r="A219" s="9"/>
      <c r="B219" s="8"/>
      <c r="C219" s="20"/>
      <c r="D219" s="8"/>
      <c r="E219" s="8"/>
    </row>
    <row r="220" spans="1:5" x14ac:dyDescent="0.3">
      <c r="A220" s="9"/>
      <c r="B220" s="8"/>
      <c r="C220" s="20"/>
      <c r="D220" s="8"/>
      <c r="E220" s="8"/>
    </row>
    <row r="221" spans="1:5" x14ac:dyDescent="0.3">
      <c r="A221" s="9"/>
      <c r="B221" s="8"/>
      <c r="C221" s="20"/>
      <c r="D221" s="8"/>
      <c r="E221" s="8"/>
    </row>
    <row r="222" spans="1:5" x14ac:dyDescent="0.3">
      <c r="A222" s="9"/>
      <c r="B222" s="8"/>
      <c r="C222" s="20"/>
      <c r="D222" s="8"/>
      <c r="E222" s="8"/>
    </row>
    <row r="223" spans="1:5" x14ac:dyDescent="0.3">
      <c r="A223" s="9"/>
      <c r="B223" s="8"/>
      <c r="C223" s="20"/>
      <c r="D223" s="8"/>
      <c r="E223" s="8"/>
    </row>
    <row r="224" spans="1:5" x14ac:dyDescent="0.3">
      <c r="A224" s="9"/>
      <c r="B224" s="8"/>
      <c r="C224" s="20"/>
      <c r="D224" s="8"/>
      <c r="E224" s="8"/>
    </row>
    <row r="225" spans="1:5" x14ac:dyDescent="0.3">
      <c r="A225" s="9"/>
      <c r="B225" s="8"/>
      <c r="C225" s="20"/>
      <c r="D225" s="8"/>
      <c r="E225" s="8"/>
    </row>
    <row r="226" spans="1:5" x14ac:dyDescent="0.3">
      <c r="A226" s="9"/>
      <c r="B226" s="8"/>
      <c r="C226" s="20"/>
      <c r="D226" s="8"/>
      <c r="E226" s="8"/>
    </row>
    <row r="227" spans="1:5" x14ac:dyDescent="0.3">
      <c r="A227" s="9"/>
      <c r="B227" s="8"/>
      <c r="C227" s="20"/>
      <c r="D227" s="8"/>
      <c r="E227" s="8"/>
    </row>
    <row r="228" spans="1:5" x14ac:dyDescent="0.3">
      <c r="A228" s="9"/>
      <c r="B228" s="8"/>
      <c r="C228" s="20"/>
      <c r="D228" s="8"/>
      <c r="E228" s="8"/>
    </row>
    <row r="229" spans="1:5" x14ac:dyDescent="0.3">
      <c r="A229" s="9"/>
      <c r="B229" s="8"/>
      <c r="C229" s="20"/>
      <c r="D229" s="8"/>
      <c r="E229" s="8"/>
    </row>
    <row r="230" spans="1:5" x14ac:dyDescent="0.3">
      <c r="A230" s="9"/>
      <c r="B230" s="8"/>
      <c r="C230" s="20"/>
      <c r="D230" s="8"/>
      <c r="E230" s="8"/>
    </row>
    <row r="231" spans="1:5" x14ac:dyDescent="0.3">
      <c r="A231" s="9"/>
      <c r="B231" s="8"/>
      <c r="C231" s="20"/>
      <c r="D231" s="8"/>
      <c r="E231" s="8"/>
    </row>
    <row r="232" spans="1:5" x14ac:dyDescent="0.3">
      <c r="A232" s="9"/>
      <c r="B232" s="8"/>
      <c r="C232" s="20"/>
      <c r="D232" s="8"/>
      <c r="E232" s="8"/>
    </row>
    <row r="233" spans="1:5" x14ac:dyDescent="0.3">
      <c r="A233" s="9"/>
      <c r="B233" s="8"/>
      <c r="C233" s="20"/>
      <c r="D233" s="8"/>
      <c r="E233" s="8"/>
    </row>
    <row r="234" spans="1:5" x14ac:dyDescent="0.3">
      <c r="A234" s="9"/>
      <c r="B234" s="8"/>
      <c r="C234" s="20"/>
      <c r="D234" s="8"/>
      <c r="E234" s="8"/>
    </row>
    <row r="235" spans="1:5" x14ac:dyDescent="0.3">
      <c r="A235" s="9"/>
      <c r="B235" s="8"/>
      <c r="C235" s="20"/>
      <c r="D235" s="8"/>
      <c r="E235" s="8"/>
    </row>
    <row r="236" spans="1:5" x14ac:dyDescent="0.3">
      <c r="A236" s="9"/>
      <c r="B236" s="8"/>
      <c r="C236" s="20"/>
      <c r="D236" s="8"/>
      <c r="E236" s="8"/>
    </row>
    <row r="237" spans="1:5" x14ac:dyDescent="0.3">
      <c r="A237" s="9"/>
      <c r="B237" s="8"/>
      <c r="C237" s="20"/>
      <c r="D237" s="8"/>
      <c r="E237" s="8"/>
    </row>
    <row r="238" spans="1:5" x14ac:dyDescent="0.3">
      <c r="A238" s="9"/>
      <c r="B238" s="8"/>
      <c r="C238" s="20"/>
      <c r="D238" s="8"/>
      <c r="E238" s="8"/>
    </row>
    <row r="239" spans="1:5" x14ac:dyDescent="0.3">
      <c r="A239" s="9"/>
      <c r="B239" s="8"/>
      <c r="C239" s="20"/>
      <c r="D239" s="8"/>
      <c r="E239" s="8"/>
    </row>
    <row r="240" spans="1:5" x14ac:dyDescent="0.3">
      <c r="A240" s="9"/>
      <c r="B240" s="8"/>
      <c r="C240" s="20"/>
      <c r="D240" s="8"/>
      <c r="E240" s="8"/>
    </row>
    <row r="241" spans="1:5" x14ac:dyDescent="0.3">
      <c r="A241" s="9"/>
      <c r="B241" s="8"/>
      <c r="C241" s="20"/>
      <c r="D241" s="8"/>
      <c r="E241" s="8"/>
    </row>
    <row r="242" spans="1:5" x14ac:dyDescent="0.3">
      <c r="A242" s="9"/>
      <c r="B242" s="8"/>
      <c r="C242" s="20"/>
      <c r="D242" s="8"/>
      <c r="E242" s="8"/>
    </row>
    <row r="243" spans="1:5" x14ac:dyDescent="0.3">
      <c r="A243" s="9"/>
      <c r="B243" s="8"/>
      <c r="C243" s="20"/>
      <c r="D243" s="8"/>
      <c r="E243" s="8"/>
    </row>
    <row r="244" spans="1:5" x14ac:dyDescent="0.3">
      <c r="A244" s="9"/>
      <c r="B244" s="8"/>
      <c r="C244" s="20"/>
      <c r="D244" s="8"/>
      <c r="E244" s="8"/>
    </row>
    <row r="245" spans="1:5" x14ac:dyDescent="0.3">
      <c r="A245" s="9"/>
      <c r="B245" s="8"/>
      <c r="C245" s="20"/>
      <c r="D245" s="8"/>
      <c r="E245" s="8"/>
    </row>
    <row r="246" spans="1:5" x14ac:dyDescent="0.3">
      <c r="A246" s="9"/>
      <c r="B246" s="8"/>
      <c r="C246" s="20"/>
      <c r="D246" s="8"/>
      <c r="E246" s="8"/>
    </row>
    <row r="247" spans="1:5" x14ac:dyDescent="0.3">
      <c r="A247" s="9"/>
      <c r="B247" s="8"/>
      <c r="C247" s="20"/>
      <c r="D247" s="8"/>
      <c r="E247" s="8"/>
    </row>
    <row r="248" spans="1:5" x14ac:dyDescent="0.3">
      <c r="A248" s="9"/>
      <c r="B248" s="8"/>
      <c r="C248" s="20"/>
      <c r="D248" s="8"/>
      <c r="E248" s="8"/>
    </row>
    <row r="249" spans="1:5" x14ac:dyDescent="0.3">
      <c r="A249" s="9"/>
      <c r="B249" s="8"/>
      <c r="C249" s="20"/>
      <c r="D249" s="8"/>
      <c r="E249" s="8"/>
    </row>
    <row r="250" spans="1:5" x14ac:dyDescent="0.3">
      <c r="A250" s="9"/>
      <c r="B250" s="8"/>
      <c r="C250" s="20"/>
      <c r="D250" s="8"/>
      <c r="E250" s="8"/>
    </row>
    <row r="251" spans="1:5" x14ac:dyDescent="0.3">
      <c r="A251" s="9"/>
      <c r="B251" s="8"/>
      <c r="C251" s="20"/>
      <c r="D251" s="8"/>
      <c r="E251" s="8"/>
    </row>
    <row r="252" spans="1:5" x14ac:dyDescent="0.3">
      <c r="A252" s="9"/>
      <c r="B252" s="8"/>
      <c r="C252" s="20"/>
      <c r="D252" s="8"/>
      <c r="E252" s="8"/>
    </row>
    <row r="253" spans="1:5" x14ac:dyDescent="0.3">
      <c r="A253" s="9"/>
      <c r="B253" s="8"/>
      <c r="C253" s="20"/>
      <c r="D253" s="8"/>
      <c r="E253" s="8"/>
    </row>
    <row r="254" spans="1:5" x14ac:dyDescent="0.3">
      <c r="A254" s="9"/>
      <c r="B254" s="8"/>
      <c r="C254" s="20"/>
      <c r="D254" s="8"/>
      <c r="E254" s="8"/>
    </row>
    <row r="255" spans="1:5" x14ac:dyDescent="0.3">
      <c r="A255" s="9"/>
      <c r="B255" s="8"/>
      <c r="C255" s="20"/>
      <c r="D255" s="8"/>
      <c r="E255" s="8"/>
    </row>
    <row r="256" spans="1:5" x14ac:dyDescent="0.3">
      <c r="A256" s="9"/>
      <c r="B256" s="8"/>
      <c r="C256" s="20"/>
      <c r="D256" s="8"/>
      <c r="E256" s="8"/>
    </row>
    <row r="257" spans="1:5" x14ac:dyDescent="0.3">
      <c r="A257" s="9"/>
      <c r="B257" s="8"/>
      <c r="C257" s="20"/>
      <c r="D257" s="8"/>
      <c r="E257" s="8"/>
    </row>
    <row r="258" spans="1:5" x14ac:dyDescent="0.3">
      <c r="A258" s="9"/>
      <c r="B258" s="8"/>
      <c r="C258" s="20"/>
      <c r="D258" s="8"/>
      <c r="E258" s="8"/>
    </row>
    <row r="259" spans="1:5" x14ac:dyDescent="0.3">
      <c r="A259" s="9"/>
      <c r="B259" s="8"/>
      <c r="C259" s="20"/>
      <c r="D259" s="8"/>
      <c r="E259" s="8"/>
    </row>
    <row r="260" spans="1:5" x14ac:dyDescent="0.3">
      <c r="A260" s="9"/>
      <c r="B260" s="8"/>
      <c r="C260" s="20"/>
      <c r="D260" s="8"/>
      <c r="E260" s="8"/>
    </row>
    <row r="261" spans="1:5" x14ac:dyDescent="0.3">
      <c r="A261" s="9"/>
      <c r="B261" s="8"/>
      <c r="C261" s="20"/>
      <c r="D261" s="8"/>
      <c r="E261" s="8"/>
    </row>
    <row r="262" spans="1:5" x14ac:dyDescent="0.3">
      <c r="A262" s="9"/>
      <c r="B262" s="8"/>
      <c r="C262" s="20"/>
      <c r="D262" s="8"/>
      <c r="E262" s="8"/>
    </row>
    <row r="263" spans="1:5" x14ac:dyDescent="0.3">
      <c r="A263" s="9"/>
      <c r="B263" s="8"/>
      <c r="C263" s="20"/>
      <c r="D263" s="8"/>
      <c r="E263" s="8"/>
    </row>
    <row r="264" spans="1:5" x14ac:dyDescent="0.3">
      <c r="A264" s="9"/>
      <c r="B264" s="8"/>
      <c r="C264" s="20"/>
      <c r="D264" s="8"/>
      <c r="E264" s="8"/>
    </row>
    <row r="265" spans="1:5" x14ac:dyDescent="0.3">
      <c r="A265" s="9"/>
      <c r="B265" s="8"/>
      <c r="C265" s="20"/>
      <c r="D265" s="8"/>
      <c r="E265" s="8"/>
    </row>
    <row r="266" spans="1:5" x14ac:dyDescent="0.3">
      <c r="A266" s="9"/>
      <c r="B266" s="8"/>
      <c r="C266" s="20"/>
      <c r="D266" s="8"/>
      <c r="E266" s="8"/>
    </row>
    <row r="267" spans="1:5" x14ac:dyDescent="0.3">
      <c r="A267" s="9"/>
      <c r="B267" s="8"/>
      <c r="C267" s="20"/>
      <c r="D267" s="8"/>
      <c r="E267" s="8"/>
    </row>
    <row r="268" spans="1:5" x14ac:dyDescent="0.3">
      <c r="A268" s="9"/>
      <c r="B268" s="8"/>
      <c r="C268" s="20"/>
      <c r="D268" s="8"/>
      <c r="E268" s="8"/>
    </row>
    <row r="269" spans="1:5" x14ac:dyDescent="0.3">
      <c r="A269" s="9"/>
      <c r="B269" s="8"/>
      <c r="C269" s="20"/>
      <c r="D269" s="8"/>
      <c r="E269" s="8"/>
    </row>
    <row r="270" spans="1:5" x14ac:dyDescent="0.3">
      <c r="A270" s="9"/>
      <c r="B270" s="8"/>
      <c r="C270" s="20"/>
      <c r="D270" s="8"/>
      <c r="E270" s="8"/>
    </row>
    <row r="271" spans="1:5" x14ac:dyDescent="0.3">
      <c r="A271" s="9"/>
      <c r="B271" s="8"/>
      <c r="C271" s="20"/>
      <c r="D271" s="8"/>
      <c r="E271" s="8"/>
    </row>
    <row r="272" spans="1:5" x14ac:dyDescent="0.3">
      <c r="A272" s="9"/>
      <c r="B272" s="8"/>
      <c r="C272" s="20"/>
      <c r="D272" s="8"/>
      <c r="E272" s="8"/>
    </row>
    <row r="273" spans="1:5" x14ac:dyDescent="0.3">
      <c r="A273" s="9"/>
      <c r="B273" s="8"/>
      <c r="C273" s="20"/>
      <c r="D273" s="8"/>
      <c r="E273" s="8"/>
    </row>
    <row r="274" spans="1:5" x14ac:dyDescent="0.3">
      <c r="A274" s="9"/>
      <c r="B274" s="8"/>
      <c r="C274" s="20"/>
      <c r="D274" s="8"/>
      <c r="E274" s="8"/>
    </row>
    <row r="275" spans="1:5" x14ac:dyDescent="0.3">
      <c r="A275" s="9"/>
      <c r="B275" s="8"/>
      <c r="C275" s="20"/>
      <c r="D275" s="8"/>
      <c r="E275" s="8"/>
    </row>
    <row r="276" spans="1:5" x14ac:dyDescent="0.3">
      <c r="A276" s="9"/>
      <c r="B276" s="8"/>
      <c r="C276" s="20"/>
      <c r="D276" s="8"/>
      <c r="E276" s="8"/>
    </row>
    <row r="277" spans="1:5" x14ac:dyDescent="0.3">
      <c r="A277" s="9"/>
      <c r="B277" s="8"/>
      <c r="C277" s="20"/>
      <c r="D277" s="8"/>
      <c r="E277" s="8"/>
    </row>
    <row r="278" spans="1:5" x14ac:dyDescent="0.3">
      <c r="A278" s="9"/>
      <c r="B278" s="8"/>
      <c r="C278" s="20"/>
      <c r="D278" s="8"/>
      <c r="E278" s="8"/>
    </row>
    <row r="279" spans="1:5" x14ac:dyDescent="0.3">
      <c r="A279" s="9"/>
      <c r="B279" s="8"/>
      <c r="C279" s="20"/>
      <c r="D279" s="8"/>
      <c r="E279" s="8"/>
    </row>
    <row r="280" spans="1:5" x14ac:dyDescent="0.3">
      <c r="A280" s="9"/>
      <c r="B280" s="8"/>
      <c r="C280" s="20"/>
      <c r="D280" s="8"/>
      <c r="E280" s="8"/>
    </row>
    <row r="281" spans="1:5" x14ac:dyDescent="0.3">
      <c r="A281" s="9"/>
      <c r="B281" s="8"/>
      <c r="C281" s="20"/>
      <c r="D281" s="8"/>
      <c r="E281" s="8"/>
    </row>
    <row r="282" spans="1:5" x14ac:dyDescent="0.3">
      <c r="A282" s="9"/>
      <c r="B282" s="8"/>
      <c r="C282" s="20"/>
      <c r="D282" s="8"/>
      <c r="E282" s="8"/>
    </row>
    <row r="283" spans="1:5" x14ac:dyDescent="0.3">
      <c r="A283" s="9"/>
      <c r="B283" s="8"/>
      <c r="C283" s="20"/>
      <c r="D283" s="8"/>
      <c r="E283" s="8"/>
    </row>
    <row r="284" spans="1:5" x14ac:dyDescent="0.3">
      <c r="A284" s="9"/>
      <c r="B284" s="8"/>
      <c r="C284" s="20"/>
      <c r="D284" s="8"/>
      <c r="E284" s="8"/>
    </row>
    <row r="285" spans="1:5" x14ac:dyDescent="0.3">
      <c r="A285" s="9"/>
      <c r="B285" s="8"/>
      <c r="C285" s="20"/>
      <c r="D285" s="8"/>
      <c r="E285" s="8"/>
    </row>
    <row r="286" spans="1:5" x14ac:dyDescent="0.3">
      <c r="A286" s="9"/>
      <c r="B286" s="8"/>
      <c r="C286" s="20"/>
      <c r="D286" s="8"/>
      <c r="E286" s="8"/>
    </row>
    <row r="287" spans="1:5" x14ac:dyDescent="0.3">
      <c r="A287" s="9"/>
      <c r="B287" s="8"/>
      <c r="C287" s="20"/>
      <c r="D287" s="8"/>
      <c r="E287" s="8"/>
    </row>
    <row r="288" spans="1:5" x14ac:dyDescent="0.3">
      <c r="A288" s="9"/>
      <c r="B288" s="8"/>
      <c r="C288" s="20"/>
      <c r="D288" s="8"/>
      <c r="E288" s="8"/>
    </row>
    <row r="289" spans="1:5" x14ac:dyDescent="0.3">
      <c r="A289" s="9"/>
      <c r="B289" s="8"/>
      <c r="C289" s="20"/>
      <c r="D289" s="8"/>
      <c r="E289" s="8"/>
    </row>
    <row r="290" spans="1:5" x14ac:dyDescent="0.3">
      <c r="A290" s="9"/>
      <c r="B290" s="8"/>
      <c r="C290" s="20"/>
      <c r="D290" s="8"/>
      <c r="E290" s="8"/>
    </row>
    <row r="291" spans="1:5" x14ac:dyDescent="0.3">
      <c r="A291" s="9"/>
      <c r="B291" s="8"/>
      <c r="C291" s="20"/>
      <c r="D291" s="8"/>
      <c r="E291" s="8"/>
    </row>
    <row r="292" spans="1:5" x14ac:dyDescent="0.3">
      <c r="A292" s="9"/>
      <c r="B292" s="8"/>
      <c r="C292" s="20"/>
      <c r="D292" s="8"/>
      <c r="E292" s="8"/>
    </row>
    <row r="293" spans="1:5" x14ac:dyDescent="0.3">
      <c r="A293" s="9"/>
      <c r="B293" s="8"/>
      <c r="C293" s="20"/>
      <c r="D293" s="8"/>
      <c r="E293" s="8"/>
    </row>
    <row r="294" spans="1:5" x14ac:dyDescent="0.3">
      <c r="A294" s="9"/>
      <c r="B294" s="8"/>
      <c r="C294" s="20"/>
      <c r="D294" s="8"/>
      <c r="E294" s="8"/>
    </row>
    <row r="295" spans="1:5" x14ac:dyDescent="0.3">
      <c r="A295" s="9"/>
      <c r="B295" s="8"/>
      <c r="C295" s="20"/>
      <c r="D295" s="8"/>
      <c r="E295" s="8"/>
    </row>
    <row r="296" spans="1:5" x14ac:dyDescent="0.3">
      <c r="A296" s="9"/>
      <c r="B296" s="8"/>
      <c r="C296" s="20"/>
      <c r="D296" s="8"/>
      <c r="E296" s="8"/>
    </row>
    <row r="297" spans="1:5" x14ac:dyDescent="0.3">
      <c r="A297" s="9"/>
      <c r="B297" s="8"/>
      <c r="C297" s="20"/>
      <c r="D297" s="8"/>
      <c r="E297" s="8"/>
    </row>
    <row r="298" spans="1:5" x14ac:dyDescent="0.3">
      <c r="A298" s="9"/>
      <c r="B298" s="8"/>
      <c r="C298" s="20"/>
      <c r="D298" s="8"/>
      <c r="E298" s="8"/>
    </row>
    <row r="299" spans="1:5" x14ac:dyDescent="0.3">
      <c r="A299" s="9"/>
      <c r="B299" s="8"/>
      <c r="C299" s="20"/>
      <c r="D299" s="8"/>
      <c r="E299" s="8"/>
    </row>
    <row r="300" spans="1:5" x14ac:dyDescent="0.3">
      <c r="A300" s="9"/>
      <c r="B300" s="8"/>
      <c r="C300" s="20"/>
      <c r="D300" s="8"/>
      <c r="E300" s="8"/>
    </row>
    <row r="301" spans="1:5" x14ac:dyDescent="0.3">
      <c r="A301" s="9"/>
      <c r="B301" s="8"/>
      <c r="C301" s="20"/>
      <c r="D301" s="8"/>
      <c r="E301" s="8"/>
    </row>
    <row r="302" spans="1:5" x14ac:dyDescent="0.3">
      <c r="A302" s="9"/>
      <c r="B302" s="8"/>
      <c r="C302" s="20"/>
      <c r="D302" s="8"/>
      <c r="E302" s="8"/>
    </row>
    <row r="303" spans="1:5" x14ac:dyDescent="0.3">
      <c r="A303" s="9"/>
      <c r="B303" s="8"/>
      <c r="C303" s="20"/>
      <c r="D303" s="8"/>
      <c r="E303" s="8"/>
    </row>
    <row r="304" spans="1:5" x14ac:dyDescent="0.3">
      <c r="A304" s="9"/>
      <c r="B304" s="8"/>
      <c r="C304" s="20"/>
      <c r="D304" s="8"/>
      <c r="E304" s="8"/>
    </row>
    <row r="305" spans="1:5" x14ac:dyDescent="0.3">
      <c r="A305" s="9"/>
      <c r="B305" s="8"/>
      <c r="C305" s="20"/>
      <c r="D305" s="8"/>
      <c r="E305" s="8"/>
    </row>
    <row r="306" spans="1:5" x14ac:dyDescent="0.3">
      <c r="A306" s="9"/>
      <c r="B306" s="8"/>
      <c r="C306" s="20"/>
      <c r="D306" s="8"/>
      <c r="E306" s="8"/>
    </row>
    <row r="307" spans="1:5" x14ac:dyDescent="0.3">
      <c r="A307" s="9"/>
      <c r="B307" s="8"/>
      <c r="C307" s="20"/>
      <c r="D307" s="8"/>
      <c r="E307" s="8"/>
    </row>
    <row r="308" spans="1:5" x14ac:dyDescent="0.3">
      <c r="A308" s="9"/>
      <c r="B308" s="8"/>
      <c r="C308" s="20"/>
      <c r="D308" s="8"/>
      <c r="E308" s="8"/>
    </row>
    <row r="309" spans="1:5" x14ac:dyDescent="0.3">
      <c r="A309" s="9"/>
      <c r="B309" s="8"/>
      <c r="C309" s="20"/>
      <c r="D309" s="8"/>
      <c r="E309" s="8"/>
    </row>
    <row r="310" spans="1:5" x14ac:dyDescent="0.3">
      <c r="A310" s="9"/>
      <c r="B310" s="8"/>
      <c r="C310" s="20"/>
      <c r="D310" s="8"/>
      <c r="E310" s="8"/>
    </row>
    <row r="311" spans="1:5" x14ac:dyDescent="0.3">
      <c r="A311" s="9"/>
      <c r="B311" s="8"/>
      <c r="C311" s="20"/>
      <c r="D311" s="8"/>
      <c r="E311" s="8"/>
    </row>
    <row r="312" spans="1:5" x14ac:dyDescent="0.3">
      <c r="A312" s="9"/>
      <c r="B312" s="8"/>
      <c r="C312" s="20"/>
      <c r="D312" s="8"/>
      <c r="E312" s="8"/>
    </row>
    <row r="313" spans="1:5" x14ac:dyDescent="0.3">
      <c r="A313" s="9"/>
      <c r="B313" s="8"/>
      <c r="C313" s="20"/>
      <c r="D313" s="8"/>
      <c r="E313" s="8"/>
    </row>
    <row r="314" spans="1:5" x14ac:dyDescent="0.3">
      <c r="A314" s="9"/>
      <c r="B314" s="8"/>
      <c r="C314" s="20"/>
      <c r="D314" s="8"/>
      <c r="E314" s="8"/>
    </row>
    <row r="315" spans="1:5" x14ac:dyDescent="0.3">
      <c r="A315" s="9"/>
      <c r="B315" s="8"/>
      <c r="C315" s="20"/>
      <c r="D315" s="8"/>
      <c r="E315" s="8"/>
    </row>
    <row r="316" spans="1:5" x14ac:dyDescent="0.3">
      <c r="A316" s="9"/>
      <c r="B316" s="8"/>
      <c r="C316" s="20"/>
      <c r="D316" s="8"/>
      <c r="E316" s="8"/>
    </row>
    <row r="317" spans="1:5" x14ac:dyDescent="0.3">
      <c r="A317" s="9"/>
      <c r="B317" s="8"/>
      <c r="C317" s="20"/>
      <c r="D317" s="8"/>
      <c r="E317" s="8"/>
    </row>
    <row r="318" spans="1:5" x14ac:dyDescent="0.3">
      <c r="A318" s="9"/>
      <c r="B318" s="8"/>
      <c r="C318" s="20"/>
      <c r="D318" s="8"/>
      <c r="E318" s="8"/>
    </row>
    <row r="319" spans="1:5" x14ac:dyDescent="0.3">
      <c r="A319" s="9"/>
      <c r="B319" s="8"/>
      <c r="C319" s="20"/>
      <c r="D319" s="8"/>
      <c r="E319" s="8"/>
    </row>
    <row r="320" spans="1:5" x14ac:dyDescent="0.3">
      <c r="A320" s="9"/>
      <c r="B320" s="8"/>
      <c r="C320" s="20"/>
      <c r="D320" s="8"/>
      <c r="E320" s="8"/>
    </row>
    <row r="321" spans="1:5" x14ac:dyDescent="0.3">
      <c r="A321" s="9"/>
      <c r="B321" s="8"/>
      <c r="C321" s="20"/>
      <c r="D321" s="8"/>
      <c r="E321" s="8"/>
    </row>
    <row r="322" spans="1:5" x14ac:dyDescent="0.3">
      <c r="A322" s="9"/>
      <c r="B322" s="8"/>
      <c r="C322" s="20"/>
      <c r="D322" s="8"/>
      <c r="E322" s="8"/>
    </row>
    <row r="323" spans="1:5" x14ac:dyDescent="0.3">
      <c r="A323" s="9"/>
      <c r="B323" s="8"/>
      <c r="C323" s="20"/>
      <c r="D323" s="8"/>
      <c r="E323" s="8"/>
    </row>
    <row r="324" spans="1:5" x14ac:dyDescent="0.3">
      <c r="A324" s="9"/>
      <c r="B324" s="8"/>
      <c r="C324" s="20"/>
      <c r="D324" s="8"/>
      <c r="E324" s="8"/>
    </row>
    <row r="325" spans="1:5" x14ac:dyDescent="0.3">
      <c r="A325" s="9"/>
      <c r="B325" s="8"/>
      <c r="C325" s="20"/>
      <c r="D325" s="8"/>
      <c r="E325" s="8"/>
    </row>
    <row r="326" spans="1:5" x14ac:dyDescent="0.3">
      <c r="A326" s="9"/>
      <c r="B326" s="8"/>
      <c r="C326" s="20"/>
      <c r="D326" s="8"/>
      <c r="E326" s="8"/>
    </row>
    <row r="327" spans="1:5" x14ac:dyDescent="0.3">
      <c r="A327" s="9"/>
      <c r="B327" s="8"/>
      <c r="C327" s="20"/>
      <c r="D327" s="8"/>
      <c r="E327" s="8"/>
    </row>
    <row r="328" spans="1:5" x14ac:dyDescent="0.3">
      <c r="A328" s="9"/>
      <c r="B328" s="8"/>
      <c r="C328" s="20"/>
      <c r="D328" s="8"/>
      <c r="E328" s="8"/>
    </row>
    <row r="329" spans="1:5" x14ac:dyDescent="0.3">
      <c r="A329" s="9"/>
      <c r="B329" s="8"/>
      <c r="C329" s="20"/>
      <c r="D329" s="8"/>
      <c r="E329" s="8"/>
    </row>
    <row r="330" spans="1:5" x14ac:dyDescent="0.3">
      <c r="A330" s="9"/>
      <c r="B330" s="8"/>
      <c r="C330" s="20"/>
      <c r="D330" s="8"/>
      <c r="E330" s="8"/>
    </row>
    <row r="331" spans="1:5" x14ac:dyDescent="0.3">
      <c r="A331" s="9"/>
      <c r="B331" s="8"/>
      <c r="C331" s="20"/>
      <c r="D331" s="8"/>
      <c r="E331" s="8"/>
    </row>
    <row r="332" spans="1:5" x14ac:dyDescent="0.3">
      <c r="A332" s="9"/>
      <c r="B332" s="8"/>
      <c r="C332" s="20"/>
      <c r="D332" s="8"/>
      <c r="E332" s="8"/>
    </row>
    <row r="333" spans="1:5" x14ac:dyDescent="0.3">
      <c r="A333" s="9"/>
      <c r="B333" s="8"/>
      <c r="C333" s="20"/>
      <c r="D333" s="8"/>
      <c r="E333" s="8"/>
    </row>
    <row r="334" spans="1:5" x14ac:dyDescent="0.3">
      <c r="A334" s="9"/>
      <c r="B334" s="8"/>
      <c r="C334" s="20"/>
      <c r="D334" s="8"/>
      <c r="E334" s="8"/>
    </row>
    <row r="335" spans="1:5" x14ac:dyDescent="0.3">
      <c r="A335" s="9"/>
      <c r="B335" s="8"/>
      <c r="C335" s="20"/>
      <c r="D335" s="8"/>
      <c r="E335" s="8"/>
    </row>
    <row r="336" spans="1:5" x14ac:dyDescent="0.3">
      <c r="A336" s="9"/>
      <c r="B336" s="8"/>
      <c r="C336" s="20"/>
      <c r="D336" s="8"/>
      <c r="E336" s="8"/>
    </row>
    <row r="337" spans="1:5" x14ac:dyDescent="0.3">
      <c r="A337" s="9"/>
      <c r="B337" s="8"/>
      <c r="C337" s="20"/>
      <c r="D337" s="8"/>
      <c r="E337" s="8"/>
    </row>
    <row r="338" spans="1:5" x14ac:dyDescent="0.3">
      <c r="A338" s="9"/>
      <c r="B338" s="8"/>
      <c r="C338" s="20"/>
      <c r="D338" s="8"/>
      <c r="E338" s="8"/>
    </row>
    <row r="339" spans="1:5" x14ac:dyDescent="0.3">
      <c r="A339" s="9"/>
      <c r="B339" s="8"/>
      <c r="C339" s="20"/>
      <c r="D339" s="8"/>
      <c r="E339" s="8"/>
    </row>
    <row r="340" spans="1:5" x14ac:dyDescent="0.3">
      <c r="A340" s="9"/>
      <c r="B340" s="8"/>
      <c r="C340" s="20"/>
      <c r="D340" s="8"/>
      <c r="E340" s="8"/>
    </row>
    <row r="341" spans="1:5" x14ac:dyDescent="0.3">
      <c r="A341" s="9"/>
      <c r="B341" s="8"/>
      <c r="C341" s="20"/>
      <c r="D341" s="8"/>
      <c r="E341" s="8"/>
    </row>
    <row r="342" spans="1:5" x14ac:dyDescent="0.3">
      <c r="A342" s="9"/>
      <c r="B342" s="8"/>
      <c r="C342" s="20"/>
      <c r="D342" s="8"/>
      <c r="E342" s="8"/>
    </row>
    <row r="343" spans="1:5" x14ac:dyDescent="0.3">
      <c r="A343" s="9"/>
      <c r="B343" s="8"/>
      <c r="C343" s="20"/>
      <c r="D343" s="8"/>
      <c r="E343" s="8"/>
    </row>
    <row r="344" spans="1:5" x14ac:dyDescent="0.3">
      <c r="A344" s="9"/>
      <c r="B344" s="8"/>
      <c r="C344" s="20"/>
      <c r="D344" s="8"/>
      <c r="E344" s="8"/>
    </row>
    <row r="345" spans="1:5" x14ac:dyDescent="0.3">
      <c r="A345" s="9"/>
      <c r="B345" s="8"/>
      <c r="C345" s="20"/>
      <c r="D345" s="8"/>
      <c r="E345" s="8"/>
    </row>
    <row r="346" spans="1:5" x14ac:dyDescent="0.3">
      <c r="A346" s="9"/>
      <c r="B346" s="8"/>
      <c r="C346" s="20"/>
      <c r="D346" s="8"/>
      <c r="E346" s="8"/>
    </row>
    <row r="347" spans="1:5" x14ac:dyDescent="0.3">
      <c r="A347" s="9"/>
      <c r="B347" s="8"/>
      <c r="C347" s="20"/>
      <c r="D347" s="8"/>
      <c r="E347" s="8"/>
    </row>
    <row r="348" spans="1:5" x14ac:dyDescent="0.3">
      <c r="A348" s="9"/>
      <c r="B348" s="8"/>
      <c r="C348" s="20"/>
      <c r="D348" s="8"/>
      <c r="E348" s="8"/>
    </row>
    <row r="349" spans="1:5" x14ac:dyDescent="0.3">
      <c r="A349" s="9"/>
      <c r="B349" s="8"/>
      <c r="C349" s="20"/>
      <c r="D349" s="8"/>
      <c r="E349" s="8"/>
    </row>
    <row r="350" spans="1:5" x14ac:dyDescent="0.3">
      <c r="A350" s="9"/>
      <c r="B350" s="8"/>
      <c r="C350" s="20"/>
      <c r="D350" s="8"/>
      <c r="E350" s="8"/>
    </row>
    <row r="351" spans="1:5" x14ac:dyDescent="0.3">
      <c r="A351" s="9"/>
      <c r="B351" s="8"/>
      <c r="C351" s="20"/>
      <c r="D351" s="8"/>
      <c r="E351" s="8"/>
    </row>
    <row r="352" spans="1:5" x14ac:dyDescent="0.3">
      <c r="A352" s="9"/>
      <c r="B352" s="8"/>
      <c r="C352" s="20"/>
      <c r="D352" s="8"/>
      <c r="E352" s="8"/>
    </row>
    <row r="353" spans="1:5" x14ac:dyDescent="0.3">
      <c r="A353" s="9"/>
      <c r="B353" s="8"/>
      <c r="C353" s="20"/>
      <c r="D353" s="8"/>
      <c r="E353" s="8"/>
    </row>
    <row r="354" spans="1:5" x14ac:dyDescent="0.3">
      <c r="A354" s="9"/>
      <c r="B354" s="8"/>
      <c r="C354" s="20"/>
      <c r="D354" s="8"/>
      <c r="E354" s="8"/>
    </row>
    <row r="355" spans="1:5" x14ac:dyDescent="0.3">
      <c r="A355" s="9"/>
      <c r="B355" s="8"/>
      <c r="C355" s="20"/>
      <c r="D355" s="8"/>
      <c r="E355" s="8"/>
    </row>
    <row r="356" spans="1:5" x14ac:dyDescent="0.3">
      <c r="A356" s="9"/>
      <c r="B356" s="8"/>
      <c r="C356" s="20"/>
      <c r="D356" s="8"/>
      <c r="E356" s="8"/>
    </row>
    <row r="357" spans="1:5" x14ac:dyDescent="0.3">
      <c r="A357" s="9"/>
      <c r="B357" s="8"/>
      <c r="C357" s="20"/>
      <c r="D357" s="8"/>
      <c r="E357" s="8"/>
    </row>
    <row r="358" spans="1:5" x14ac:dyDescent="0.3">
      <c r="A358" s="9"/>
      <c r="B358" s="8"/>
      <c r="C358" s="20"/>
      <c r="D358" s="8"/>
      <c r="E358" s="8"/>
    </row>
    <row r="359" spans="1:5" x14ac:dyDescent="0.3">
      <c r="A359" s="9"/>
      <c r="B359" s="8"/>
      <c r="C359" s="20"/>
      <c r="D359" s="8"/>
      <c r="E359" s="8"/>
    </row>
    <row r="360" spans="1:5" x14ac:dyDescent="0.3">
      <c r="A360" s="9"/>
      <c r="B360" s="8"/>
      <c r="C360" s="20"/>
      <c r="D360" s="8"/>
      <c r="E360" s="8"/>
    </row>
    <row r="361" spans="1:5" x14ac:dyDescent="0.3">
      <c r="A361" s="9"/>
      <c r="B361" s="8"/>
      <c r="C361" s="20"/>
      <c r="D361" s="8"/>
      <c r="E361" s="8"/>
    </row>
    <row r="362" spans="1:5" x14ac:dyDescent="0.3">
      <c r="A362" s="9"/>
      <c r="B362" s="8"/>
      <c r="C362" s="20"/>
      <c r="D362" s="8"/>
      <c r="E362" s="8"/>
    </row>
    <row r="363" spans="1:5" x14ac:dyDescent="0.3">
      <c r="A363" s="9"/>
      <c r="B363" s="8"/>
      <c r="C363" s="20"/>
      <c r="D363" s="8"/>
      <c r="E363" s="8"/>
    </row>
    <row r="364" spans="1:5" x14ac:dyDescent="0.3">
      <c r="A364" s="9"/>
      <c r="B364" s="8"/>
      <c r="C364" s="20"/>
      <c r="D364" s="8"/>
      <c r="E364" s="8"/>
    </row>
    <row r="365" spans="1:5" x14ac:dyDescent="0.3">
      <c r="A365" s="9"/>
      <c r="B365" s="8"/>
      <c r="C365" s="20"/>
      <c r="D365" s="8"/>
      <c r="E365" s="8"/>
    </row>
    <row r="366" spans="1:5" x14ac:dyDescent="0.3">
      <c r="A366" s="9"/>
      <c r="B366" s="8"/>
      <c r="C366" s="20"/>
      <c r="D366" s="8"/>
      <c r="E366" s="8"/>
    </row>
    <row r="367" spans="1:5" x14ac:dyDescent="0.3">
      <c r="A367" s="9"/>
      <c r="B367" s="8"/>
      <c r="C367" s="20"/>
      <c r="D367" s="8"/>
      <c r="E367" s="8"/>
    </row>
    <row r="368" spans="1:5" x14ac:dyDescent="0.3">
      <c r="A368" s="9"/>
      <c r="B368" s="8"/>
      <c r="C368" s="20"/>
      <c r="D368" s="8"/>
      <c r="E368" s="8"/>
    </row>
    <row r="369" spans="1:5" x14ac:dyDescent="0.3">
      <c r="A369" s="9"/>
      <c r="B369" s="8"/>
      <c r="C369" s="20"/>
      <c r="D369" s="8"/>
      <c r="E369" s="8"/>
    </row>
    <row r="370" spans="1:5" x14ac:dyDescent="0.3">
      <c r="A370" s="9"/>
      <c r="B370" s="8"/>
      <c r="C370" s="20"/>
      <c r="D370" s="8"/>
      <c r="E370" s="8"/>
    </row>
    <row r="371" spans="1:5" x14ac:dyDescent="0.3">
      <c r="A371" s="9"/>
      <c r="B371" s="8"/>
      <c r="C371" s="20"/>
      <c r="D371" s="8"/>
      <c r="E371" s="8"/>
    </row>
    <row r="372" spans="1:5" x14ac:dyDescent="0.3">
      <c r="A372" s="9"/>
      <c r="B372" s="8"/>
      <c r="C372" s="20"/>
      <c r="D372" s="8"/>
      <c r="E372" s="8"/>
    </row>
    <row r="373" spans="1:5" x14ac:dyDescent="0.3">
      <c r="A373" s="9"/>
      <c r="B373" s="8"/>
      <c r="C373" s="20"/>
      <c r="D373" s="8"/>
      <c r="E373" s="8"/>
    </row>
    <row r="374" spans="1:5" x14ac:dyDescent="0.3">
      <c r="A374" s="9"/>
      <c r="B374" s="8"/>
      <c r="C374" s="20"/>
      <c r="D374" s="8"/>
      <c r="E374" s="8"/>
    </row>
    <row r="375" spans="1:5" x14ac:dyDescent="0.3">
      <c r="A375" s="9"/>
      <c r="B375" s="8"/>
      <c r="C375" s="20"/>
      <c r="D375" s="8"/>
      <c r="E375" s="8"/>
    </row>
    <row r="376" spans="1:5" x14ac:dyDescent="0.3">
      <c r="A376" s="9"/>
      <c r="B376" s="8"/>
      <c r="C376" s="20"/>
      <c r="D376" s="8"/>
      <c r="E376" s="8"/>
    </row>
    <row r="377" spans="1:5" x14ac:dyDescent="0.3">
      <c r="A377" s="9"/>
      <c r="B377" s="8"/>
      <c r="C377" s="20"/>
      <c r="D377" s="8"/>
      <c r="E377" s="8"/>
    </row>
    <row r="378" spans="1:5" x14ac:dyDescent="0.3">
      <c r="A378" s="9"/>
      <c r="B378" s="8"/>
      <c r="C378" s="20"/>
      <c r="D378" s="8"/>
      <c r="E378" s="8"/>
    </row>
    <row r="379" spans="1:5" x14ac:dyDescent="0.3">
      <c r="A379" s="9"/>
      <c r="B379" s="8"/>
      <c r="C379" s="20"/>
      <c r="D379" s="8"/>
      <c r="E379" s="8"/>
    </row>
    <row r="380" spans="1:5" x14ac:dyDescent="0.3">
      <c r="A380" s="9"/>
      <c r="B380" s="8"/>
      <c r="C380" s="20"/>
      <c r="D380" s="8"/>
      <c r="E380" s="8"/>
    </row>
    <row r="381" spans="1:5" x14ac:dyDescent="0.3">
      <c r="A381" s="9"/>
      <c r="B381" s="8"/>
      <c r="C381" s="20"/>
      <c r="D381" s="8"/>
      <c r="E381" s="8"/>
    </row>
    <row r="382" spans="1:5" x14ac:dyDescent="0.3">
      <c r="A382" s="9"/>
      <c r="B382" s="8"/>
      <c r="C382" s="20"/>
      <c r="D382" s="8"/>
      <c r="E382" s="8"/>
    </row>
    <row r="383" spans="1:5" x14ac:dyDescent="0.3">
      <c r="A383" s="9"/>
      <c r="B383" s="8"/>
      <c r="C383" s="20"/>
      <c r="D383" s="8"/>
      <c r="E383" s="8"/>
    </row>
    <row r="384" spans="1:5" x14ac:dyDescent="0.3">
      <c r="A384" s="9"/>
      <c r="B384" s="8"/>
      <c r="C384" s="20"/>
      <c r="D384" s="8"/>
      <c r="E384" s="8"/>
    </row>
    <row r="385" spans="1:5" x14ac:dyDescent="0.3">
      <c r="A385" s="9"/>
      <c r="B385" s="8"/>
      <c r="C385" s="20"/>
      <c r="D385" s="8"/>
      <c r="E385" s="8"/>
    </row>
    <row r="386" spans="1:5" x14ac:dyDescent="0.3">
      <c r="A386" s="9"/>
      <c r="B386" s="8"/>
      <c r="C386" s="20"/>
      <c r="D386" s="8"/>
      <c r="E386" s="8"/>
    </row>
    <row r="387" spans="1:5" x14ac:dyDescent="0.3">
      <c r="A387" s="9"/>
      <c r="B387" s="8"/>
      <c r="C387" s="20"/>
      <c r="D387" s="8"/>
      <c r="E387" s="8"/>
    </row>
    <row r="388" spans="1:5" x14ac:dyDescent="0.3">
      <c r="A388" s="9"/>
      <c r="B388" s="8"/>
      <c r="C388" s="20"/>
      <c r="D388" s="8"/>
      <c r="E388" s="8"/>
    </row>
    <row r="389" spans="1:5" x14ac:dyDescent="0.3">
      <c r="A389" s="9"/>
      <c r="B389" s="8"/>
      <c r="C389" s="20"/>
      <c r="D389" s="8"/>
      <c r="E389" s="8"/>
    </row>
    <row r="390" spans="1:5" x14ac:dyDescent="0.3">
      <c r="A390" s="9"/>
      <c r="B390" s="8"/>
      <c r="C390" s="20"/>
      <c r="D390" s="8"/>
      <c r="E390" s="8"/>
    </row>
    <row r="391" spans="1:5" x14ac:dyDescent="0.3">
      <c r="A391" s="9"/>
      <c r="B391" s="8"/>
      <c r="C391" s="20"/>
      <c r="D391" s="8"/>
      <c r="E391" s="8"/>
    </row>
    <row r="392" spans="1:5" x14ac:dyDescent="0.3">
      <c r="A392" s="9"/>
      <c r="B392" s="8"/>
      <c r="C392" s="20"/>
      <c r="D392" s="8"/>
      <c r="E392" s="8"/>
    </row>
    <row r="393" spans="1:5" x14ac:dyDescent="0.3">
      <c r="A393" s="9"/>
      <c r="B393" s="8"/>
      <c r="C393" s="20"/>
      <c r="D393" s="8"/>
      <c r="E393" s="8"/>
    </row>
    <row r="394" spans="1:5" x14ac:dyDescent="0.3">
      <c r="A394" s="9"/>
      <c r="B394" s="8"/>
      <c r="C394" s="20"/>
      <c r="D394" s="8"/>
      <c r="E394" s="8"/>
    </row>
    <row r="395" spans="1:5" x14ac:dyDescent="0.3">
      <c r="A395" s="9"/>
      <c r="B395" s="8"/>
      <c r="C395" s="20"/>
      <c r="D395" s="8"/>
      <c r="E395" s="8"/>
    </row>
    <row r="396" spans="1:5" x14ac:dyDescent="0.3">
      <c r="A396" s="9"/>
      <c r="B396" s="8"/>
      <c r="C396" s="20"/>
      <c r="D396" s="8"/>
      <c r="E396" s="8"/>
    </row>
    <row r="397" spans="1:5" x14ac:dyDescent="0.3">
      <c r="A397" s="9"/>
      <c r="B397" s="8"/>
      <c r="C397" s="20"/>
      <c r="D397" s="8"/>
      <c r="E397" s="8"/>
    </row>
    <row r="398" spans="1:5" x14ac:dyDescent="0.3">
      <c r="A398" s="9"/>
      <c r="B398" s="8"/>
      <c r="C398" s="20"/>
      <c r="D398" s="8"/>
      <c r="E398" s="8"/>
    </row>
    <row r="399" spans="1:5" x14ac:dyDescent="0.3">
      <c r="A399" s="9"/>
      <c r="B399" s="8"/>
      <c r="C399" s="20"/>
      <c r="D399" s="8"/>
      <c r="E399" s="8"/>
    </row>
    <row r="400" spans="1:5" x14ac:dyDescent="0.3">
      <c r="A400" s="9"/>
      <c r="B400" s="8"/>
      <c r="C400" s="20"/>
      <c r="D400" s="8"/>
      <c r="E400" s="8"/>
    </row>
    <row r="401" spans="1:5" x14ac:dyDescent="0.3">
      <c r="A401" s="9"/>
      <c r="B401" s="8"/>
      <c r="C401" s="20"/>
      <c r="D401" s="8"/>
      <c r="E401" s="8"/>
    </row>
    <row r="402" spans="1:5" x14ac:dyDescent="0.3">
      <c r="A402" s="9"/>
      <c r="B402" s="8"/>
      <c r="C402" s="20"/>
      <c r="D402" s="8"/>
      <c r="E402" s="8"/>
    </row>
    <row r="403" spans="1:5" x14ac:dyDescent="0.3">
      <c r="A403" s="9"/>
      <c r="B403" s="8"/>
      <c r="C403" s="20"/>
      <c r="D403" s="8"/>
      <c r="E403" s="8"/>
    </row>
    <row r="404" spans="1:5" x14ac:dyDescent="0.3">
      <c r="A404" s="9"/>
      <c r="B404" s="8"/>
      <c r="C404" s="20"/>
      <c r="D404" s="8"/>
      <c r="E404" s="8"/>
    </row>
    <row r="405" spans="1:5" x14ac:dyDescent="0.3">
      <c r="A405" s="9"/>
      <c r="B405" s="8"/>
      <c r="C405" s="20"/>
      <c r="D405" s="8"/>
      <c r="E405" s="8"/>
    </row>
    <row r="406" spans="1:5" x14ac:dyDescent="0.3">
      <c r="A406" s="9"/>
      <c r="B406" s="8"/>
      <c r="C406" s="20"/>
      <c r="D406" s="8"/>
      <c r="E406" s="8"/>
    </row>
    <row r="407" spans="1:5" x14ac:dyDescent="0.3">
      <c r="A407" s="9"/>
      <c r="B407" s="8"/>
      <c r="C407" s="20"/>
      <c r="D407" s="8"/>
      <c r="E407" s="8"/>
    </row>
    <row r="408" spans="1:5" x14ac:dyDescent="0.3">
      <c r="A408" s="9"/>
      <c r="B408" s="8"/>
      <c r="C408" s="20"/>
      <c r="D408" s="8"/>
      <c r="E408" s="8"/>
    </row>
    <row r="409" spans="1:5" x14ac:dyDescent="0.3">
      <c r="A409" s="9"/>
      <c r="B409" s="8"/>
      <c r="C409" s="20"/>
      <c r="D409" s="8"/>
      <c r="E409" s="8"/>
    </row>
    <row r="410" spans="1:5" x14ac:dyDescent="0.3">
      <c r="A410" s="9"/>
      <c r="B410" s="8"/>
      <c r="C410" s="20"/>
      <c r="D410" s="8"/>
      <c r="E410" s="8"/>
    </row>
    <row r="411" spans="1:5" x14ac:dyDescent="0.3">
      <c r="A411" s="9"/>
      <c r="B411" s="8"/>
      <c r="C411" s="20"/>
      <c r="D411" s="8"/>
      <c r="E411" s="8"/>
    </row>
    <row r="412" spans="1:5" x14ac:dyDescent="0.3">
      <c r="A412" s="9"/>
      <c r="B412" s="8"/>
      <c r="C412" s="20"/>
      <c r="D412" s="8"/>
      <c r="E412" s="8"/>
    </row>
    <row r="413" spans="1:5" x14ac:dyDescent="0.3">
      <c r="A413" s="9"/>
      <c r="B413" s="8"/>
      <c r="C413" s="20"/>
      <c r="D413" s="8"/>
      <c r="E413" s="8"/>
    </row>
    <row r="414" spans="1:5" x14ac:dyDescent="0.3">
      <c r="A414" s="9"/>
      <c r="B414" s="8"/>
      <c r="C414" s="20"/>
      <c r="D414" s="8"/>
      <c r="E414" s="8"/>
    </row>
    <row r="415" spans="1:5" x14ac:dyDescent="0.3">
      <c r="A415" s="9"/>
      <c r="B415" s="8"/>
      <c r="C415" s="20"/>
      <c r="D415" s="8"/>
      <c r="E415" s="8"/>
    </row>
    <row r="416" spans="1:5" x14ac:dyDescent="0.3">
      <c r="A416" s="9"/>
      <c r="B416" s="8"/>
      <c r="C416" s="20"/>
      <c r="D416" s="8"/>
      <c r="E416" s="8"/>
    </row>
    <row r="417" spans="1:5" x14ac:dyDescent="0.3">
      <c r="A417" s="9"/>
      <c r="B417" s="8"/>
      <c r="C417" s="20"/>
      <c r="D417" s="8"/>
      <c r="E417" s="8"/>
    </row>
    <row r="418" spans="1:5" x14ac:dyDescent="0.3">
      <c r="A418" s="9"/>
      <c r="B418" s="8"/>
      <c r="C418" s="20"/>
      <c r="D418" s="8"/>
      <c r="E418" s="8"/>
    </row>
    <row r="419" spans="1:5" x14ac:dyDescent="0.3">
      <c r="A419" s="9"/>
      <c r="B419" s="8"/>
      <c r="C419" s="20"/>
      <c r="D419" s="8"/>
      <c r="E419" s="8"/>
    </row>
    <row r="420" spans="1:5" x14ac:dyDescent="0.3">
      <c r="A420" s="9"/>
      <c r="B420" s="8"/>
      <c r="C420" s="20"/>
      <c r="D420" s="8"/>
      <c r="E420" s="8"/>
    </row>
    <row r="421" spans="1:5" x14ac:dyDescent="0.3">
      <c r="A421" s="9"/>
      <c r="B421" s="8"/>
      <c r="C421" s="20"/>
      <c r="D421" s="8"/>
      <c r="E421" s="8"/>
    </row>
    <row r="422" spans="1:5" x14ac:dyDescent="0.3">
      <c r="A422" s="9"/>
      <c r="B422" s="8"/>
      <c r="C422" s="20"/>
      <c r="D422" s="8"/>
      <c r="E422" s="8"/>
    </row>
    <row r="423" spans="1:5" x14ac:dyDescent="0.3">
      <c r="A423" s="9"/>
      <c r="B423" s="8"/>
      <c r="C423" s="20"/>
      <c r="D423" s="8"/>
      <c r="E423" s="8"/>
    </row>
    <row r="424" spans="1:5" x14ac:dyDescent="0.3">
      <c r="A424" s="9"/>
      <c r="B424" s="8"/>
      <c r="C424" s="20"/>
      <c r="D424" s="8"/>
      <c r="E424" s="8"/>
    </row>
    <row r="425" spans="1:5" x14ac:dyDescent="0.3">
      <c r="A425" s="9"/>
      <c r="B425" s="8"/>
      <c r="C425" s="20"/>
      <c r="D425" s="8"/>
      <c r="E425" s="8"/>
    </row>
    <row r="426" spans="1:5" x14ac:dyDescent="0.3">
      <c r="A426" s="9"/>
      <c r="B426" s="8"/>
      <c r="C426" s="20"/>
      <c r="D426" s="8"/>
      <c r="E426" s="8"/>
    </row>
    <row r="427" spans="1:5" x14ac:dyDescent="0.3">
      <c r="A427" s="9"/>
      <c r="B427" s="8"/>
      <c r="C427" s="20"/>
      <c r="D427" s="8"/>
      <c r="E427" s="8"/>
    </row>
    <row r="428" spans="1:5" x14ac:dyDescent="0.3">
      <c r="A428" s="9"/>
      <c r="B428" s="8"/>
      <c r="C428" s="20"/>
      <c r="D428" s="8"/>
      <c r="E428" s="8"/>
    </row>
    <row r="429" spans="1:5" x14ac:dyDescent="0.3">
      <c r="A429" s="9"/>
      <c r="B429" s="8"/>
      <c r="C429" s="20"/>
      <c r="D429" s="8"/>
      <c r="E429" s="8"/>
    </row>
    <row r="430" spans="1:5" x14ac:dyDescent="0.3">
      <c r="A430" s="9"/>
      <c r="B430" s="8"/>
      <c r="C430" s="20"/>
      <c r="D430" s="8"/>
      <c r="E430" s="8"/>
    </row>
    <row r="431" spans="1:5" x14ac:dyDescent="0.3">
      <c r="A431" s="9"/>
      <c r="B431" s="8"/>
      <c r="C431" s="20"/>
      <c r="D431" s="8"/>
      <c r="E431" s="8"/>
    </row>
    <row r="432" spans="1:5" x14ac:dyDescent="0.3">
      <c r="A432" s="9"/>
      <c r="B432" s="8"/>
      <c r="C432" s="20"/>
      <c r="D432" s="8"/>
      <c r="E432" s="8"/>
    </row>
    <row r="433" spans="1:5" x14ac:dyDescent="0.3">
      <c r="A433" s="9"/>
      <c r="B433" s="8"/>
      <c r="C433" s="20"/>
      <c r="D433" s="8"/>
      <c r="E433" s="8"/>
    </row>
    <row r="434" spans="1:5" x14ac:dyDescent="0.3">
      <c r="A434" s="9"/>
      <c r="B434" s="8"/>
      <c r="C434" s="20"/>
      <c r="D434" s="8"/>
      <c r="E434" s="8"/>
    </row>
    <row r="435" spans="1:5" x14ac:dyDescent="0.3">
      <c r="A435" s="9"/>
      <c r="B435" s="8"/>
      <c r="C435" s="20"/>
      <c r="D435" s="8"/>
      <c r="E435" s="8"/>
    </row>
    <row r="436" spans="1:5" x14ac:dyDescent="0.3">
      <c r="A436" s="9"/>
      <c r="B436" s="8"/>
      <c r="C436" s="20"/>
      <c r="D436" s="8"/>
      <c r="E436" s="8"/>
    </row>
    <row r="437" spans="1:5" x14ac:dyDescent="0.3">
      <c r="A437" s="9"/>
      <c r="B437" s="8"/>
      <c r="C437" s="20"/>
      <c r="D437" s="8"/>
      <c r="E437" s="8"/>
    </row>
    <row r="438" spans="1:5" x14ac:dyDescent="0.3">
      <c r="A438" s="9"/>
      <c r="B438" s="8"/>
      <c r="C438" s="20"/>
      <c r="D438" s="8"/>
      <c r="E438" s="8"/>
    </row>
    <row r="439" spans="1:5" x14ac:dyDescent="0.3">
      <c r="A439" s="9"/>
      <c r="B439" s="8"/>
      <c r="C439" s="20"/>
      <c r="D439" s="8"/>
      <c r="E439" s="8"/>
    </row>
    <row r="440" spans="1:5" x14ac:dyDescent="0.3">
      <c r="A440" s="9"/>
      <c r="B440" s="8"/>
      <c r="C440" s="20"/>
      <c r="D440" s="8"/>
      <c r="E440" s="8"/>
    </row>
    <row r="441" spans="1:5" x14ac:dyDescent="0.3">
      <c r="A441" s="9"/>
      <c r="B441" s="8"/>
      <c r="C441" s="20"/>
      <c r="D441" s="8"/>
      <c r="E441" s="8"/>
    </row>
    <row r="442" spans="1:5" x14ac:dyDescent="0.3">
      <c r="A442" s="9"/>
      <c r="B442" s="8"/>
      <c r="C442" s="20"/>
      <c r="D442" s="8"/>
      <c r="E442" s="8"/>
    </row>
    <row r="443" spans="1:5" x14ac:dyDescent="0.3">
      <c r="A443" s="9"/>
      <c r="B443" s="8"/>
      <c r="C443" s="20"/>
      <c r="D443" s="8"/>
      <c r="E443" s="8"/>
    </row>
    <row r="444" spans="1:5" x14ac:dyDescent="0.3">
      <c r="A444" s="9"/>
      <c r="B444" s="8"/>
      <c r="C444" s="20"/>
      <c r="D444" s="8"/>
      <c r="E444" s="8"/>
    </row>
    <row r="445" spans="1:5" x14ac:dyDescent="0.3">
      <c r="A445" s="9"/>
      <c r="B445" s="8"/>
      <c r="C445" s="20"/>
      <c r="D445" s="8"/>
      <c r="E445" s="8"/>
    </row>
    <row r="446" spans="1:5" x14ac:dyDescent="0.3">
      <c r="A446" s="9"/>
      <c r="B446" s="8"/>
      <c r="C446" s="20"/>
      <c r="D446" s="8"/>
      <c r="E446" s="8"/>
    </row>
    <row r="447" spans="1:5" x14ac:dyDescent="0.3">
      <c r="A447" s="9"/>
      <c r="B447" s="8"/>
      <c r="C447" s="20"/>
      <c r="D447" s="8"/>
      <c r="E447" s="8"/>
    </row>
    <row r="448" spans="1:5" x14ac:dyDescent="0.3">
      <c r="A448" s="9"/>
      <c r="B448" s="8"/>
      <c r="C448" s="20"/>
      <c r="D448" s="8"/>
      <c r="E448" s="8"/>
    </row>
    <row r="449" spans="1:5" x14ac:dyDescent="0.3">
      <c r="A449" s="9"/>
      <c r="B449" s="8"/>
      <c r="C449" s="20"/>
      <c r="D449" s="8"/>
      <c r="E449" s="8"/>
    </row>
    <row r="450" spans="1:5" x14ac:dyDescent="0.3">
      <c r="A450" s="9"/>
      <c r="B450" s="8"/>
      <c r="C450" s="20"/>
      <c r="D450" s="8"/>
      <c r="E450" s="8"/>
    </row>
    <row r="451" spans="1:5" x14ac:dyDescent="0.3">
      <c r="A451" s="9"/>
      <c r="B451" s="8"/>
      <c r="C451" s="20"/>
      <c r="D451" s="8"/>
      <c r="E451" s="8"/>
    </row>
    <row r="452" spans="1:5" x14ac:dyDescent="0.3">
      <c r="A452" s="9"/>
      <c r="B452" s="8"/>
      <c r="C452" s="20"/>
      <c r="D452" s="8"/>
      <c r="E452" s="8"/>
    </row>
    <row r="453" spans="1:5" x14ac:dyDescent="0.3">
      <c r="A453" s="9"/>
      <c r="B453" s="8"/>
      <c r="C453" s="20"/>
      <c r="D453" s="8"/>
      <c r="E453" s="8"/>
    </row>
    <row r="454" spans="1:5" x14ac:dyDescent="0.3">
      <c r="A454" s="9"/>
      <c r="B454" s="8"/>
      <c r="C454" s="20"/>
      <c r="D454" s="8"/>
      <c r="E454" s="8"/>
    </row>
    <row r="455" spans="1:5" x14ac:dyDescent="0.3">
      <c r="A455" s="9"/>
      <c r="B455" s="8"/>
      <c r="C455" s="20"/>
      <c r="D455" s="8"/>
      <c r="E455" s="8"/>
    </row>
    <row r="456" spans="1:5" x14ac:dyDescent="0.3">
      <c r="A456" s="9"/>
      <c r="B456" s="8"/>
      <c r="C456" s="20"/>
      <c r="D456" s="8"/>
      <c r="E456" s="8"/>
    </row>
    <row r="457" spans="1:5" x14ac:dyDescent="0.3">
      <c r="A457" s="9"/>
      <c r="B457" s="8"/>
      <c r="C457" s="20"/>
      <c r="D457" s="8"/>
      <c r="E457" s="8"/>
    </row>
    <row r="458" spans="1:5" x14ac:dyDescent="0.3">
      <c r="A458" s="9"/>
      <c r="B458" s="8"/>
      <c r="C458" s="20"/>
      <c r="D458" s="8"/>
      <c r="E458" s="8"/>
    </row>
    <row r="459" spans="1:5" x14ac:dyDescent="0.3">
      <c r="A459" s="9"/>
      <c r="B459" s="8"/>
      <c r="C459" s="20"/>
      <c r="D459" s="8"/>
      <c r="E459" s="8"/>
    </row>
    <row r="460" spans="1:5" x14ac:dyDescent="0.3">
      <c r="A460" s="9"/>
      <c r="B460" s="8"/>
      <c r="C460" s="20"/>
      <c r="D460" s="8"/>
      <c r="E460" s="8"/>
    </row>
    <row r="461" spans="1:5" x14ac:dyDescent="0.3">
      <c r="A461" s="9"/>
      <c r="B461" s="8"/>
      <c r="C461" s="20"/>
      <c r="D461" s="8"/>
      <c r="E461" s="8"/>
    </row>
    <row r="462" spans="1:5" x14ac:dyDescent="0.3">
      <c r="A462" s="9"/>
      <c r="B462" s="8"/>
      <c r="C462" s="20"/>
      <c r="D462" s="8"/>
      <c r="E462" s="8"/>
    </row>
    <row r="463" spans="1:5" x14ac:dyDescent="0.3">
      <c r="A463" s="9"/>
      <c r="B463" s="8"/>
      <c r="C463" s="20"/>
      <c r="D463" s="8"/>
      <c r="E463" s="8"/>
    </row>
    <row r="464" spans="1:5" x14ac:dyDescent="0.3">
      <c r="A464" s="9"/>
      <c r="B464" s="8"/>
      <c r="C464" s="20"/>
      <c r="D464" s="8"/>
      <c r="E464" s="8"/>
    </row>
    <row r="465" spans="1:5" x14ac:dyDescent="0.3">
      <c r="A465" s="9"/>
      <c r="B465" s="8"/>
      <c r="C465" s="20"/>
      <c r="D465" s="8"/>
      <c r="E465" s="8"/>
    </row>
    <row r="466" spans="1:5" x14ac:dyDescent="0.3">
      <c r="A466" s="9"/>
      <c r="B466" s="8"/>
      <c r="C466" s="20"/>
      <c r="D466" s="8"/>
      <c r="E466" s="8"/>
    </row>
    <row r="467" spans="1:5" x14ac:dyDescent="0.3">
      <c r="A467" s="9"/>
      <c r="B467" s="8"/>
      <c r="C467" s="20"/>
      <c r="D467" s="8"/>
      <c r="E467" s="8"/>
    </row>
    <row r="468" spans="1:5" x14ac:dyDescent="0.3">
      <c r="A468" s="9"/>
      <c r="B468" s="8"/>
      <c r="C468" s="20"/>
      <c r="D468" s="8"/>
      <c r="E468" s="8"/>
    </row>
    <row r="469" spans="1:5" x14ac:dyDescent="0.3">
      <c r="A469" s="9"/>
      <c r="B469" s="8"/>
      <c r="C469" s="20"/>
      <c r="D469" s="8"/>
      <c r="E469" s="8"/>
    </row>
    <row r="470" spans="1:5" x14ac:dyDescent="0.3">
      <c r="A470" s="9"/>
      <c r="B470" s="8"/>
      <c r="C470" s="20"/>
      <c r="D470" s="8"/>
      <c r="E470" s="8"/>
    </row>
    <row r="471" spans="1:5" x14ac:dyDescent="0.3">
      <c r="A471" s="9"/>
      <c r="B471" s="8"/>
      <c r="C471" s="20"/>
      <c r="D471" s="8"/>
      <c r="E471" s="8"/>
    </row>
    <row r="472" spans="1:5" x14ac:dyDescent="0.3">
      <c r="A472" s="9"/>
      <c r="B472" s="8"/>
      <c r="C472" s="20"/>
      <c r="D472" s="8"/>
      <c r="E472" s="8"/>
    </row>
    <row r="473" spans="1:5" x14ac:dyDescent="0.3">
      <c r="A473" s="9"/>
      <c r="B473" s="8"/>
      <c r="C473" s="20"/>
      <c r="D473" s="8"/>
      <c r="E473" s="8"/>
    </row>
    <row r="474" spans="1:5" x14ac:dyDescent="0.3">
      <c r="A474" s="9"/>
      <c r="B474" s="8"/>
      <c r="C474" s="20"/>
      <c r="D474" s="8"/>
      <c r="E474" s="8"/>
    </row>
    <row r="475" spans="1:5" x14ac:dyDescent="0.3">
      <c r="A475" s="9"/>
      <c r="B475" s="8"/>
      <c r="C475" s="20"/>
      <c r="D475" s="8"/>
      <c r="E475" s="8"/>
    </row>
    <row r="476" spans="1:5" x14ac:dyDescent="0.3">
      <c r="A476" s="9"/>
      <c r="B476" s="8"/>
      <c r="C476" s="20"/>
      <c r="D476" s="8"/>
      <c r="E476" s="8"/>
    </row>
    <row r="477" spans="1:5" x14ac:dyDescent="0.3">
      <c r="A477" s="9"/>
      <c r="B477" s="8"/>
      <c r="C477" s="20"/>
      <c r="D477" s="8"/>
      <c r="E477" s="8"/>
    </row>
    <row r="478" spans="1:5" x14ac:dyDescent="0.3">
      <c r="A478" s="9"/>
      <c r="B478" s="8"/>
      <c r="C478" s="20"/>
      <c r="D478" s="8"/>
      <c r="E478" s="8"/>
    </row>
    <row r="479" spans="1:5" x14ac:dyDescent="0.3">
      <c r="A479" s="9"/>
      <c r="B479" s="8"/>
      <c r="C479" s="20"/>
      <c r="D479" s="8"/>
      <c r="E479" s="8"/>
    </row>
    <row r="480" spans="1:5" x14ac:dyDescent="0.3">
      <c r="A480" s="9"/>
      <c r="B480" s="8"/>
      <c r="C480" s="20"/>
      <c r="D480" s="8"/>
      <c r="E480" s="8"/>
    </row>
    <row r="481" spans="1:5" x14ac:dyDescent="0.3">
      <c r="A481" s="9"/>
      <c r="B481" s="8"/>
      <c r="C481" s="20"/>
      <c r="D481" s="8"/>
      <c r="E481" s="8"/>
    </row>
    <row r="482" spans="1:5" x14ac:dyDescent="0.3">
      <c r="A482" s="9"/>
      <c r="B482" s="8"/>
      <c r="C482" s="20"/>
      <c r="D482" s="8"/>
      <c r="E482" s="8"/>
    </row>
    <row r="483" spans="1:5" x14ac:dyDescent="0.3">
      <c r="A483" s="9"/>
      <c r="B483" s="8"/>
      <c r="C483" s="20"/>
      <c r="D483" s="8"/>
      <c r="E483" s="8"/>
    </row>
    <row r="484" spans="1:5" x14ac:dyDescent="0.3">
      <c r="A484" s="9"/>
      <c r="B484" s="8"/>
      <c r="C484" s="20"/>
      <c r="D484" s="8"/>
      <c r="E484" s="8"/>
    </row>
    <row r="485" spans="1:5" x14ac:dyDescent="0.3">
      <c r="A485" s="9"/>
      <c r="B485" s="8"/>
      <c r="C485" s="20"/>
      <c r="D485" s="8"/>
      <c r="E485" s="8"/>
    </row>
    <row r="486" spans="1:5" x14ac:dyDescent="0.3">
      <c r="A486" s="9"/>
      <c r="B486" s="8"/>
      <c r="C486" s="20"/>
      <c r="D486" s="8"/>
      <c r="E486" s="8"/>
    </row>
    <row r="487" spans="1:5" x14ac:dyDescent="0.3">
      <c r="A487" s="9"/>
      <c r="B487" s="8"/>
      <c r="C487" s="20"/>
      <c r="D487" s="8"/>
      <c r="E487" s="8"/>
    </row>
    <row r="488" spans="1:5" x14ac:dyDescent="0.3">
      <c r="A488" s="9"/>
      <c r="B488" s="8"/>
      <c r="C488" s="20"/>
      <c r="D488" s="8"/>
      <c r="E488" s="8"/>
    </row>
    <row r="489" spans="1:5" x14ac:dyDescent="0.3">
      <c r="A489" s="9"/>
      <c r="B489" s="8"/>
      <c r="C489" s="20"/>
      <c r="D489" s="8"/>
      <c r="E489" s="8"/>
    </row>
    <row r="490" spans="1:5" x14ac:dyDescent="0.3">
      <c r="A490" s="9"/>
      <c r="B490" s="8"/>
      <c r="C490" s="20"/>
      <c r="D490" s="8"/>
      <c r="E490" s="8"/>
    </row>
    <row r="491" spans="1:5" x14ac:dyDescent="0.3">
      <c r="A491" s="9"/>
      <c r="B491" s="8"/>
      <c r="C491" s="20"/>
      <c r="D491" s="8"/>
      <c r="E491" s="8"/>
    </row>
    <row r="492" spans="1:5" x14ac:dyDescent="0.3">
      <c r="A492" s="9"/>
      <c r="B492" s="8"/>
      <c r="C492" s="20"/>
      <c r="D492" s="8"/>
      <c r="E492" s="8"/>
    </row>
    <row r="493" spans="1:5" x14ac:dyDescent="0.3">
      <c r="A493" s="9"/>
      <c r="B493" s="8"/>
      <c r="C493" s="20"/>
      <c r="D493" s="8"/>
      <c r="E493" s="8"/>
    </row>
    <row r="494" spans="1:5" x14ac:dyDescent="0.3">
      <c r="A494" s="9"/>
      <c r="B494" s="8"/>
      <c r="C494" s="20"/>
      <c r="D494" s="8"/>
      <c r="E494" s="8"/>
    </row>
    <row r="495" spans="1:5" x14ac:dyDescent="0.3">
      <c r="A495" s="9"/>
      <c r="B495" s="8"/>
      <c r="C495" s="20"/>
      <c r="D495" s="8"/>
      <c r="E495" s="8"/>
    </row>
    <row r="496" spans="1:5" x14ac:dyDescent="0.3">
      <c r="A496" s="9"/>
      <c r="B496" s="8"/>
      <c r="C496" s="20"/>
      <c r="D496" s="8"/>
      <c r="E496" s="8"/>
    </row>
    <row r="497" spans="1:5" x14ac:dyDescent="0.3">
      <c r="A497" s="9"/>
      <c r="B497" s="8"/>
      <c r="C497" s="20"/>
      <c r="D497" s="8"/>
      <c r="E497" s="8"/>
    </row>
    <row r="498" spans="1:5" x14ac:dyDescent="0.3">
      <c r="A498" s="9"/>
      <c r="B498" s="8"/>
      <c r="C498" s="20"/>
      <c r="D498" s="8"/>
      <c r="E498" s="8"/>
    </row>
    <row r="499" spans="1:5" x14ac:dyDescent="0.3">
      <c r="A499" s="9"/>
      <c r="B499" s="8"/>
      <c r="C499" s="20"/>
      <c r="D499" s="8"/>
      <c r="E499" s="8"/>
    </row>
    <row r="500" spans="1:5" x14ac:dyDescent="0.3">
      <c r="A500" s="9"/>
      <c r="B500" s="8"/>
      <c r="C500" s="20"/>
      <c r="D500" s="8"/>
      <c r="E500" s="8"/>
    </row>
    <row r="501" spans="1:5" x14ac:dyDescent="0.3">
      <c r="A501" s="9"/>
      <c r="B501" s="8"/>
      <c r="C501" s="20"/>
      <c r="D501" s="8"/>
      <c r="E501" s="8"/>
    </row>
    <row r="502" spans="1:5" x14ac:dyDescent="0.3">
      <c r="A502" s="9"/>
      <c r="B502" s="8"/>
      <c r="C502" s="20"/>
      <c r="D502" s="8"/>
      <c r="E502" s="8"/>
    </row>
    <row r="503" spans="1:5" x14ac:dyDescent="0.3">
      <c r="A503" s="9"/>
      <c r="B503" s="8"/>
      <c r="C503" s="20"/>
      <c r="D503" s="8"/>
      <c r="E503" s="8"/>
    </row>
    <row r="504" spans="1:5" x14ac:dyDescent="0.3">
      <c r="A504" s="9"/>
      <c r="B504" s="8"/>
      <c r="C504" s="20"/>
      <c r="D504" s="8"/>
      <c r="E504" s="8"/>
    </row>
    <row r="505" spans="1:5" x14ac:dyDescent="0.3">
      <c r="A505" s="9"/>
      <c r="B505" s="8"/>
      <c r="C505" s="20"/>
      <c r="D505" s="8"/>
      <c r="E505" s="8"/>
    </row>
    <row r="506" spans="1:5" x14ac:dyDescent="0.3">
      <c r="A506" s="9"/>
      <c r="B506" s="8"/>
      <c r="C506" s="20"/>
      <c r="D506" s="8"/>
      <c r="E506" s="8"/>
    </row>
    <row r="507" spans="1:5" x14ac:dyDescent="0.3">
      <c r="A507" s="9"/>
      <c r="B507" s="8"/>
      <c r="C507" s="20"/>
      <c r="D507" s="8"/>
      <c r="E507" s="8"/>
    </row>
    <row r="508" spans="1:5" x14ac:dyDescent="0.3">
      <c r="A508" s="9"/>
      <c r="B508" s="8"/>
      <c r="C508" s="20"/>
      <c r="D508" s="8"/>
      <c r="E508" s="8"/>
    </row>
    <row r="509" spans="1:5" x14ac:dyDescent="0.3">
      <c r="A509" s="9"/>
      <c r="B509" s="8"/>
      <c r="C509" s="20"/>
      <c r="D509" s="8"/>
      <c r="E509" s="8"/>
    </row>
    <row r="510" spans="1:5" x14ac:dyDescent="0.3">
      <c r="A510" s="9"/>
      <c r="B510" s="8"/>
      <c r="C510" s="20"/>
      <c r="D510" s="8"/>
      <c r="E510" s="8"/>
    </row>
    <row r="511" spans="1:5" x14ac:dyDescent="0.3">
      <c r="A511" s="9"/>
      <c r="B511" s="8"/>
      <c r="C511" s="20"/>
      <c r="D511" s="8"/>
      <c r="E511" s="8"/>
    </row>
    <row r="512" spans="1:5" x14ac:dyDescent="0.3">
      <c r="A512" s="9"/>
      <c r="B512" s="8"/>
      <c r="C512" s="20"/>
      <c r="D512" s="8"/>
      <c r="E512" s="8"/>
    </row>
    <row r="513" spans="1:5" x14ac:dyDescent="0.3">
      <c r="A513" s="9"/>
      <c r="B513" s="8"/>
      <c r="C513" s="20"/>
      <c r="D513" s="8"/>
      <c r="E513" s="8"/>
    </row>
    <row r="514" spans="1:5" x14ac:dyDescent="0.3">
      <c r="A514" s="9"/>
      <c r="B514" s="8"/>
      <c r="C514" s="20"/>
      <c r="D514" s="8"/>
      <c r="E514" s="8"/>
    </row>
    <row r="515" spans="1:5" x14ac:dyDescent="0.3">
      <c r="A515" s="9"/>
      <c r="B515" s="8"/>
      <c r="C515" s="20"/>
      <c r="D515" s="8"/>
      <c r="E515" s="8"/>
    </row>
    <row r="516" spans="1:5" x14ac:dyDescent="0.3">
      <c r="A516" s="9"/>
      <c r="B516" s="8"/>
      <c r="C516" s="20"/>
      <c r="D516" s="8"/>
      <c r="E516" s="8"/>
    </row>
    <row r="517" spans="1:5" x14ac:dyDescent="0.3">
      <c r="A517" s="9"/>
      <c r="B517" s="8"/>
      <c r="C517" s="20"/>
      <c r="D517" s="8"/>
      <c r="E517" s="8"/>
    </row>
    <row r="518" spans="1:5" x14ac:dyDescent="0.3">
      <c r="A518" s="9"/>
      <c r="B518" s="8"/>
      <c r="C518" s="20"/>
      <c r="D518" s="8"/>
      <c r="E518" s="8"/>
    </row>
    <row r="519" spans="1:5" x14ac:dyDescent="0.3">
      <c r="A519" s="9"/>
      <c r="B519" s="8"/>
      <c r="C519" s="20"/>
      <c r="D519" s="8"/>
      <c r="E519" s="8"/>
    </row>
    <row r="520" spans="1:5" x14ac:dyDescent="0.3">
      <c r="A520" s="9"/>
      <c r="B520" s="8"/>
      <c r="C520" s="20"/>
      <c r="D520" s="8"/>
      <c r="E520" s="8"/>
    </row>
    <row r="521" spans="1:5" x14ac:dyDescent="0.3">
      <c r="A521" s="9"/>
      <c r="B521" s="8"/>
      <c r="C521" s="20"/>
      <c r="D521" s="8"/>
      <c r="E521" s="8"/>
    </row>
    <row r="522" spans="1:5" x14ac:dyDescent="0.3">
      <c r="A522" s="9"/>
      <c r="B522" s="8"/>
      <c r="C522" s="20"/>
      <c r="D522" s="8"/>
      <c r="E522" s="8"/>
    </row>
    <row r="523" spans="1:5" x14ac:dyDescent="0.3">
      <c r="A523" s="9"/>
      <c r="B523" s="8"/>
      <c r="C523" s="20"/>
      <c r="D523" s="8"/>
      <c r="E523" s="8"/>
    </row>
    <row r="524" spans="1:5" x14ac:dyDescent="0.3">
      <c r="A524" s="9"/>
      <c r="B524" s="8"/>
      <c r="C524" s="20"/>
      <c r="D524" s="8"/>
      <c r="E524" s="8"/>
    </row>
    <row r="525" spans="1:5" x14ac:dyDescent="0.3">
      <c r="A525" s="9"/>
      <c r="B525" s="8"/>
      <c r="C525" s="20"/>
      <c r="D525" s="8"/>
      <c r="E525" s="8"/>
    </row>
    <row r="526" spans="1:5" x14ac:dyDescent="0.3">
      <c r="A526" s="9"/>
      <c r="B526" s="8"/>
      <c r="C526" s="20"/>
      <c r="D526" s="8"/>
      <c r="E526" s="8"/>
    </row>
    <row r="527" spans="1:5" x14ac:dyDescent="0.3">
      <c r="A527" s="9"/>
      <c r="B527" s="8"/>
      <c r="C527" s="20"/>
      <c r="D527" s="8"/>
      <c r="E527" s="8"/>
    </row>
    <row r="528" spans="1:5" x14ac:dyDescent="0.3">
      <c r="A528" s="9"/>
      <c r="B528" s="8"/>
      <c r="C528" s="20"/>
      <c r="D528" s="8"/>
      <c r="E528" s="8"/>
    </row>
    <row r="529" spans="1:5" x14ac:dyDescent="0.3">
      <c r="A529" s="9"/>
      <c r="B529" s="8"/>
      <c r="C529" s="20"/>
      <c r="D529" s="8"/>
      <c r="E529" s="8"/>
    </row>
    <row r="530" spans="1:5" x14ac:dyDescent="0.3">
      <c r="A530" s="9"/>
      <c r="B530" s="8"/>
      <c r="C530" s="20"/>
      <c r="D530" s="8"/>
      <c r="E530" s="8"/>
    </row>
    <row r="531" spans="1:5" x14ac:dyDescent="0.3">
      <c r="A531" s="9"/>
      <c r="B531" s="8"/>
      <c r="C531" s="20"/>
      <c r="D531" s="8"/>
      <c r="E531" s="8"/>
    </row>
    <row r="532" spans="1:5" x14ac:dyDescent="0.3">
      <c r="A532" s="9"/>
      <c r="B532" s="8"/>
      <c r="C532" s="20"/>
      <c r="D532" s="8"/>
      <c r="E532" s="8"/>
    </row>
    <row r="533" spans="1:5" x14ac:dyDescent="0.3">
      <c r="A533" s="9"/>
      <c r="B533" s="8"/>
      <c r="C533" s="20"/>
      <c r="D533" s="8"/>
      <c r="E533" s="8"/>
    </row>
    <row r="534" spans="1:5" x14ac:dyDescent="0.3">
      <c r="A534" s="9"/>
      <c r="B534" s="8"/>
      <c r="C534" s="20"/>
      <c r="D534" s="8"/>
      <c r="E534" s="8"/>
    </row>
    <row r="535" spans="1:5" x14ac:dyDescent="0.3">
      <c r="A535" s="9"/>
      <c r="B535" s="8"/>
      <c r="C535" s="20"/>
      <c r="D535" s="8"/>
      <c r="E535" s="8"/>
    </row>
    <row r="536" spans="1:5" x14ac:dyDescent="0.3">
      <c r="A536" s="9"/>
      <c r="B536" s="8"/>
      <c r="C536" s="20"/>
      <c r="D536" s="8"/>
      <c r="E536" s="8"/>
    </row>
    <row r="537" spans="1:5" x14ac:dyDescent="0.3">
      <c r="A537" s="9"/>
      <c r="B537" s="8"/>
      <c r="C537" s="20"/>
      <c r="D537" s="8"/>
      <c r="E537" s="8"/>
    </row>
    <row r="538" spans="1:5" x14ac:dyDescent="0.3">
      <c r="A538" s="9"/>
      <c r="B538" s="8"/>
      <c r="C538" s="20"/>
      <c r="D538" s="8"/>
      <c r="E538" s="8"/>
    </row>
    <row r="539" spans="1:5" x14ac:dyDescent="0.3">
      <c r="A539" s="9"/>
      <c r="B539" s="8"/>
      <c r="C539" s="20"/>
      <c r="D539" s="8"/>
      <c r="E539" s="8"/>
    </row>
    <row r="540" spans="1:5" x14ac:dyDescent="0.3">
      <c r="A540" s="9"/>
      <c r="B540" s="8"/>
      <c r="C540" s="20"/>
      <c r="D540" s="8"/>
      <c r="E540" s="8"/>
    </row>
    <row r="541" spans="1:5" x14ac:dyDescent="0.3">
      <c r="A541" s="9"/>
      <c r="B541" s="8"/>
      <c r="C541" s="20"/>
      <c r="D541" s="8"/>
      <c r="E541" s="8"/>
    </row>
    <row r="542" spans="1:5" x14ac:dyDescent="0.3">
      <c r="A542" s="9"/>
      <c r="B542" s="8"/>
      <c r="C542" s="20"/>
      <c r="D542" s="8"/>
      <c r="E542" s="8"/>
    </row>
    <row r="543" spans="1:5" x14ac:dyDescent="0.3">
      <c r="A543" s="9"/>
      <c r="B543" s="8"/>
      <c r="C543" s="20"/>
      <c r="D543" s="8"/>
      <c r="E543" s="8"/>
    </row>
    <row r="544" spans="1:5" x14ac:dyDescent="0.3">
      <c r="A544" s="9"/>
      <c r="B544" s="8"/>
      <c r="C544" s="20"/>
      <c r="D544" s="8"/>
      <c r="E544" s="8"/>
    </row>
    <row r="545" spans="1:5" x14ac:dyDescent="0.3">
      <c r="A545" s="9"/>
      <c r="B545" s="8"/>
      <c r="C545" s="20"/>
      <c r="D545" s="8"/>
      <c r="E545" s="8"/>
    </row>
    <row r="546" spans="1:5" x14ac:dyDescent="0.3">
      <c r="A546" s="9"/>
      <c r="B546" s="8"/>
      <c r="C546" s="20"/>
      <c r="D546" s="8"/>
      <c r="E546" s="8"/>
    </row>
    <row r="547" spans="1:5" x14ac:dyDescent="0.3">
      <c r="A547" s="9"/>
      <c r="B547" s="8"/>
      <c r="C547" s="20"/>
      <c r="D547" s="8"/>
      <c r="E547" s="8"/>
    </row>
    <row r="548" spans="1:5" x14ac:dyDescent="0.3">
      <c r="A548" s="9"/>
      <c r="B548" s="8"/>
      <c r="C548" s="20"/>
      <c r="D548" s="8"/>
      <c r="E548" s="8"/>
    </row>
    <row r="549" spans="1:5" x14ac:dyDescent="0.3">
      <c r="A549" s="9"/>
      <c r="B549" s="8"/>
      <c r="C549" s="20"/>
      <c r="D549" s="8"/>
      <c r="E549" s="8"/>
    </row>
    <row r="550" spans="1:5" x14ac:dyDescent="0.3">
      <c r="A550" s="9"/>
      <c r="B550" s="8"/>
      <c r="C550" s="20"/>
      <c r="D550" s="8"/>
      <c r="E550" s="8"/>
    </row>
    <row r="551" spans="1:5" x14ac:dyDescent="0.3">
      <c r="A551" s="9"/>
      <c r="B551" s="8"/>
      <c r="C551" s="20"/>
      <c r="D551" s="8"/>
      <c r="E551" s="8"/>
    </row>
    <row r="552" spans="1:5" x14ac:dyDescent="0.3">
      <c r="A552" s="9"/>
      <c r="B552" s="8"/>
      <c r="C552" s="20"/>
      <c r="D552" s="8"/>
      <c r="E552" s="8"/>
    </row>
    <row r="553" spans="1:5" x14ac:dyDescent="0.3">
      <c r="A553" s="9"/>
      <c r="B553" s="8"/>
      <c r="C553" s="20"/>
      <c r="D553" s="8"/>
      <c r="E553" s="8"/>
    </row>
    <row r="554" spans="1:5" x14ac:dyDescent="0.3">
      <c r="A554" s="9"/>
      <c r="B554" s="8"/>
      <c r="C554" s="20"/>
      <c r="D554" s="8"/>
      <c r="E554" s="8"/>
    </row>
    <row r="555" spans="1:5" x14ac:dyDescent="0.3">
      <c r="A555" s="9"/>
      <c r="B555" s="8"/>
      <c r="C555" s="20"/>
      <c r="D555" s="8"/>
      <c r="E555" s="8"/>
    </row>
    <row r="556" spans="1:5" x14ac:dyDescent="0.3">
      <c r="A556" s="9"/>
      <c r="B556" s="8"/>
      <c r="C556" s="20"/>
      <c r="D556" s="8"/>
      <c r="E556" s="8"/>
    </row>
    <row r="557" spans="1:5" x14ac:dyDescent="0.3">
      <c r="A557" s="9"/>
      <c r="B557" s="8"/>
      <c r="C557" s="20"/>
      <c r="D557" s="8"/>
      <c r="E557" s="8"/>
    </row>
    <row r="558" spans="1:5" x14ac:dyDescent="0.3">
      <c r="A558" s="9"/>
      <c r="B558" s="8"/>
      <c r="C558" s="20"/>
      <c r="D558" s="8"/>
      <c r="E558" s="8"/>
    </row>
    <row r="559" spans="1:5" x14ac:dyDescent="0.3">
      <c r="A559" s="9"/>
      <c r="B559" s="8"/>
      <c r="C559" s="20"/>
      <c r="D559" s="8"/>
      <c r="E559" s="8"/>
    </row>
    <row r="560" spans="1:5" x14ac:dyDescent="0.3">
      <c r="A560" s="9"/>
      <c r="B560" s="8"/>
      <c r="C560" s="20"/>
      <c r="D560" s="8"/>
      <c r="E560" s="8"/>
    </row>
    <row r="561" spans="1:5" x14ac:dyDescent="0.3">
      <c r="A561" s="9"/>
      <c r="B561" s="8"/>
      <c r="C561" s="20"/>
      <c r="D561" s="8"/>
      <c r="E561" s="8"/>
    </row>
    <row r="562" spans="1:5" x14ac:dyDescent="0.3">
      <c r="A562" s="9"/>
      <c r="B562" s="8"/>
      <c r="C562" s="20"/>
      <c r="D562" s="8"/>
      <c r="E562" s="8"/>
    </row>
    <row r="563" spans="1:5" x14ac:dyDescent="0.3">
      <c r="A563" s="9"/>
      <c r="B563" s="8"/>
      <c r="C563" s="20"/>
      <c r="D563" s="8"/>
      <c r="E563" s="8"/>
    </row>
    <row r="564" spans="1:5" x14ac:dyDescent="0.3">
      <c r="A564" s="9"/>
      <c r="B564" s="8"/>
      <c r="C564" s="20"/>
      <c r="D564" s="8"/>
      <c r="E564" s="8"/>
    </row>
    <row r="565" spans="1:5" x14ac:dyDescent="0.3">
      <c r="A565" s="9"/>
      <c r="B565" s="8"/>
      <c r="C565" s="20"/>
      <c r="D565" s="8"/>
      <c r="E565" s="8"/>
    </row>
    <row r="566" spans="1:5" x14ac:dyDescent="0.3">
      <c r="A566" s="9"/>
      <c r="B566" s="8"/>
      <c r="C566" s="20"/>
      <c r="D566" s="8"/>
      <c r="E566" s="8"/>
    </row>
    <row r="567" spans="1:5" x14ac:dyDescent="0.3">
      <c r="A567" s="9"/>
      <c r="B567" s="8"/>
      <c r="C567" s="20"/>
      <c r="D567" s="8"/>
      <c r="E567" s="8"/>
    </row>
    <row r="568" spans="1:5" x14ac:dyDescent="0.3">
      <c r="A568" s="9"/>
      <c r="B568" s="8"/>
      <c r="C568" s="20"/>
      <c r="D568" s="8"/>
      <c r="E568" s="8"/>
    </row>
    <row r="569" spans="1:5" x14ac:dyDescent="0.3">
      <c r="A569" s="9"/>
      <c r="B569" s="8"/>
      <c r="C569" s="20"/>
      <c r="D569" s="8"/>
      <c r="E569" s="8"/>
    </row>
    <row r="570" spans="1:5" x14ac:dyDescent="0.3">
      <c r="A570" s="9"/>
      <c r="B570" s="8"/>
      <c r="C570" s="20"/>
      <c r="D570" s="8"/>
      <c r="E570" s="8"/>
    </row>
    <row r="571" spans="1:5" x14ac:dyDescent="0.3">
      <c r="A571" s="9"/>
      <c r="B571" s="8"/>
      <c r="C571" s="20"/>
      <c r="D571" s="8"/>
      <c r="E571" s="8"/>
    </row>
    <row r="572" spans="1:5" x14ac:dyDescent="0.3">
      <c r="A572" s="9"/>
      <c r="B572" s="8"/>
      <c r="C572" s="20"/>
      <c r="D572" s="8"/>
      <c r="E572" s="8"/>
    </row>
    <row r="573" spans="1:5" x14ac:dyDescent="0.3">
      <c r="A573" s="9"/>
      <c r="B573" s="8"/>
      <c r="C573" s="20"/>
      <c r="D573" s="8"/>
      <c r="E573" s="8"/>
    </row>
    <row r="574" spans="1:5" x14ac:dyDescent="0.3">
      <c r="A574" s="9"/>
      <c r="B574" s="8"/>
      <c r="C574" s="20"/>
      <c r="D574" s="8"/>
      <c r="E574" s="8"/>
    </row>
    <row r="575" spans="1:5" x14ac:dyDescent="0.3">
      <c r="A575" s="9"/>
      <c r="B575" s="8"/>
      <c r="C575" s="20"/>
      <c r="D575" s="8"/>
      <c r="E575" s="8"/>
    </row>
    <row r="576" spans="1:5" x14ac:dyDescent="0.3">
      <c r="A576" s="9"/>
      <c r="B576" s="8"/>
      <c r="C576" s="20"/>
      <c r="D576" s="8"/>
      <c r="E576" s="8"/>
    </row>
    <row r="577" spans="1:5" x14ac:dyDescent="0.3">
      <c r="A577" s="9"/>
      <c r="B577" s="8"/>
      <c r="C577" s="20"/>
      <c r="D577" s="8"/>
      <c r="E577" s="8"/>
    </row>
    <row r="578" spans="1:5" x14ac:dyDescent="0.3">
      <c r="A578" s="9"/>
      <c r="B578" s="8"/>
      <c r="C578" s="20"/>
      <c r="D578" s="8"/>
      <c r="E578" s="8"/>
    </row>
    <row r="579" spans="1:5" x14ac:dyDescent="0.3">
      <c r="A579" s="9"/>
      <c r="B579" s="8"/>
      <c r="C579" s="20"/>
      <c r="D579" s="8"/>
      <c r="E579" s="8"/>
    </row>
    <row r="580" spans="1:5" x14ac:dyDescent="0.3">
      <c r="A580" s="9"/>
      <c r="B580" s="8"/>
      <c r="C580" s="20"/>
      <c r="D580" s="8"/>
      <c r="E580" s="8"/>
    </row>
    <row r="581" spans="1:5" x14ac:dyDescent="0.3">
      <c r="A581" s="9"/>
      <c r="B581" s="8"/>
      <c r="C581" s="20"/>
      <c r="D581" s="8"/>
      <c r="E581" s="8"/>
    </row>
    <row r="582" spans="1:5" x14ac:dyDescent="0.3">
      <c r="A582" s="9"/>
      <c r="B582" s="8"/>
      <c r="C582" s="20"/>
      <c r="D582" s="8"/>
      <c r="E582" s="8"/>
    </row>
    <row r="583" spans="1:5" x14ac:dyDescent="0.3">
      <c r="A583" s="9"/>
      <c r="B583" s="8"/>
      <c r="C583" s="20"/>
      <c r="D583" s="8"/>
      <c r="E583" s="8"/>
    </row>
    <row r="584" spans="1:5" x14ac:dyDescent="0.3">
      <c r="A584" s="9"/>
      <c r="B584" s="8"/>
      <c r="C584" s="20"/>
      <c r="D584" s="8"/>
      <c r="E584" s="8"/>
    </row>
    <row r="585" spans="1:5" x14ac:dyDescent="0.3">
      <c r="A585" s="9"/>
      <c r="B585" s="8"/>
      <c r="C585" s="20"/>
      <c r="D585" s="8"/>
      <c r="E585" s="8"/>
    </row>
    <row r="586" spans="1:5" x14ac:dyDescent="0.3">
      <c r="A586" s="9"/>
      <c r="B586" s="8"/>
      <c r="C586" s="20"/>
      <c r="D586" s="8"/>
      <c r="E586" s="8"/>
    </row>
    <row r="587" spans="1:5" x14ac:dyDescent="0.3">
      <c r="A587" s="9"/>
      <c r="B587" s="8"/>
      <c r="C587" s="20"/>
      <c r="D587" s="8"/>
      <c r="E587" s="8"/>
    </row>
    <row r="588" spans="1:5" x14ac:dyDescent="0.3">
      <c r="A588" s="9"/>
      <c r="B588" s="8"/>
      <c r="C588" s="20"/>
      <c r="D588" s="8"/>
      <c r="E588" s="8"/>
    </row>
    <row r="589" spans="1:5" x14ac:dyDescent="0.3">
      <c r="A589" s="9"/>
      <c r="B589" s="8"/>
      <c r="C589" s="20"/>
      <c r="D589" s="8"/>
      <c r="E589" s="8"/>
    </row>
    <row r="590" spans="1:5" x14ac:dyDescent="0.3">
      <c r="A590" s="9"/>
      <c r="B590" s="8"/>
      <c r="C590" s="20"/>
      <c r="D590" s="8"/>
      <c r="E590" s="8"/>
    </row>
    <row r="591" spans="1:5" x14ac:dyDescent="0.3">
      <c r="A591" s="9"/>
      <c r="B591" s="8"/>
      <c r="C591" s="20"/>
      <c r="D591" s="8"/>
      <c r="E591" s="8"/>
    </row>
    <row r="592" spans="1:5" x14ac:dyDescent="0.3">
      <c r="A592" s="9"/>
      <c r="B592" s="8"/>
      <c r="C592" s="20"/>
      <c r="D592" s="8"/>
      <c r="E592" s="8"/>
    </row>
    <row r="593" spans="1:5" x14ac:dyDescent="0.3">
      <c r="A593" s="9"/>
      <c r="B593" s="8"/>
      <c r="C593" s="20"/>
      <c r="D593" s="8"/>
      <c r="E593" s="8"/>
    </row>
    <row r="594" spans="1:5" x14ac:dyDescent="0.3">
      <c r="A594" s="9"/>
      <c r="B594" s="8"/>
      <c r="C594" s="20"/>
      <c r="D594" s="8"/>
      <c r="E594" s="8"/>
    </row>
    <row r="595" spans="1:5" x14ac:dyDescent="0.3">
      <c r="A595" s="9"/>
      <c r="B595" s="8"/>
      <c r="C595" s="20"/>
      <c r="D595" s="8"/>
      <c r="E595" s="8"/>
    </row>
    <row r="596" spans="1:5" x14ac:dyDescent="0.3">
      <c r="A596" s="9"/>
      <c r="B596" s="8"/>
      <c r="C596" s="20"/>
      <c r="D596" s="8"/>
      <c r="E596" s="8"/>
    </row>
    <row r="597" spans="1:5" x14ac:dyDescent="0.3">
      <c r="A597" s="9"/>
      <c r="B597" s="8"/>
      <c r="C597" s="20"/>
      <c r="D597" s="8"/>
      <c r="E597" s="8"/>
    </row>
    <row r="598" spans="1:5" x14ac:dyDescent="0.3">
      <c r="A598" s="9"/>
      <c r="B598" s="8"/>
      <c r="C598" s="20"/>
      <c r="D598" s="8"/>
      <c r="E598" s="8"/>
    </row>
    <row r="599" spans="1:5" x14ac:dyDescent="0.3">
      <c r="A599" s="9"/>
      <c r="B599" s="8"/>
      <c r="C599" s="20"/>
      <c r="D599" s="8"/>
      <c r="E599" s="8"/>
    </row>
    <row r="600" spans="1:5" x14ac:dyDescent="0.3">
      <c r="A600" s="9"/>
      <c r="B600" s="8"/>
      <c r="C600" s="20"/>
      <c r="D600" s="8"/>
      <c r="E600" s="8"/>
    </row>
    <row r="601" spans="1:5" x14ac:dyDescent="0.3">
      <c r="A601" s="9"/>
      <c r="B601" s="8"/>
      <c r="C601" s="20"/>
      <c r="D601" s="8"/>
      <c r="E601" s="8"/>
    </row>
    <row r="602" spans="1:5" x14ac:dyDescent="0.3">
      <c r="A602" s="9"/>
      <c r="B602" s="8"/>
      <c r="C602" s="20"/>
      <c r="D602" s="8"/>
      <c r="E602" s="8"/>
    </row>
    <row r="603" spans="1:5" x14ac:dyDescent="0.3">
      <c r="A603" s="9"/>
      <c r="B603" s="8"/>
      <c r="C603" s="20"/>
      <c r="D603" s="8"/>
      <c r="E603" s="8"/>
    </row>
    <row r="604" spans="1:5" x14ac:dyDescent="0.3">
      <c r="A604" s="9"/>
      <c r="B604" s="8"/>
      <c r="C604" s="20"/>
      <c r="D604" s="8"/>
      <c r="E604" s="8"/>
    </row>
    <row r="605" spans="1:5" x14ac:dyDescent="0.3">
      <c r="A605" s="9"/>
      <c r="B605" s="8"/>
      <c r="C605" s="20"/>
      <c r="D605" s="8"/>
      <c r="E605" s="8"/>
    </row>
    <row r="606" spans="1:5" x14ac:dyDescent="0.3">
      <c r="A606" s="9"/>
      <c r="B606" s="8"/>
      <c r="C606" s="20"/>
      <c r="D606" s="8"/>
      <c r="E606" s="8"/>
    </row>
    <row r="607" spans="1:5" x14ac:dyDescent="0.3">
      <c r="A607" s="9"/>
      <c r="B607" s="8"/>
      <c r="C607" s="20"/>
      <c r="D607" s="8"/>
      <c r="E607" s="8"/>
    </row>
    <row r="608" spans="1:5" x14ac:dyDescent="0.3">
      <c r="A608" s="9"/>
      <c r="B608" s="8"/>
      <c r="C608" s="20"/>
      <c r="D608" s="8"/>
      <c r="E608" s="8"/>
    </row>
    <row r="609" spans="1:5" x14ac:dyDescent="0.3">
      <c r="A609" s="9"/>
      <c r="B609" s="8"/>
      <c r="C609" s="20"/>
      <c r="D609" s="8"/>
      <c r="E609" s="8"/>
    </row>
    <row r="610" spans="1:5" x14ac:dyDescent="0.3">
      <c r="A610" s="9"/>
      <c r="B610" s="8"/>
      <c r="C610" s="20"/>
      <c r="D610" s="8"/>
      <c r="E610" s="8"/>
    </row>
    <row r="611" spans="1:5" x14ac:dyDescent="0.3">
      <c r="A611" s="9"/>
      <c r="B611" s="8"/>
      <c r="C611" s="20"/>
      <c r="D611" s="8"/>
      <c r="E611" s="8"/>
    </row>
    <row r="612" spans="1:5" x14ac:dyDescent="0.3">
      <c r="A612" s="9"/>
      <c r="B612" s="8"/>
      <c r="C612" s="20"/>
      <c r="D612" s="8"/>
      <c r="E612" s="8"/>
    </row>
    <row r="613" spans="1:5" x14ac:dyDescent="0.3">
      <c r="A613" s="9"/>
      <c r="B613" s="8"/>
      <c r="C613" s="20"/>
      <c r="D613" s="8"/>
      <c r="E613" s="8"/>
    </row>
    <row r="614" spans="1:5" x14ac:dyDescent="0.3">
      <c r="A614" s="9"/>
      <c r="B614" s="8"/>
      <c r="C614" s="20"/>
      <c r="D614" s="8"/>
      <c r="E614" s="8"/>
    </row>
    <row r="615" spans="1:5" x14ac:dyDescent="0.3">
      <c r="A615" s="9"/>
      <c r="B615" s="8"/>
      <c r="C615" s="20"/>
      <c r="D615" s="8"/>
      <c r="E615" s="8"/>
    </row>
    <row r="616" spans="1:5" x14ac:dyDescent="0.3">
      <c r="A616" s="9"/>
      <c r="B616" s="8"/>
      <c r="C616" s="20"/>
      <c r="D616" s="8"/>
      <c r="E616" s="8"/>
    </row>
    <row r="617" spans="1:5" x14ac:dyDescent="0.3">
      <c r="A617" s="9"/>
      <c r="B617" s="8"/>
      <c r="C617" s="20"/>
      <c r="D617" s="8"/>
      <c r="E617" s="8"/>
    </row>
    <row r="618" spans="1:5" x14ac:dyDescent="0.3">
      <c r="A618" s="9"/>
      <c r="B618" s="8"/>
      <c r="C618" s="20"/>
      <c r="D618" s="8"/>
      <c r="E618" s="8"/>
    </row>
    <row r="619" spans="1:5" x14ac:dyDescent="0.3">
      <c r="A619" s="9"/>
      <c r="B619" s="8"/>
      <c r="C619" s="20"/>
      <c r="D619" s="8"/>
      <c r="E619" s="8"/>
    </row>
    <row r="620" spans="1:5" x14ac:dyDescent="0.3">
      <c r="A620" s="9"/>
      <c r="B620" s="8"/>
      <c r="C620" s="20"/>
      <c r="D620" s="8"/>
      <c r="E620" s="8"/>
    </row>
    <row r="621" spans="1:5" x14ac:dyDescent="0.3">
      <c r="A621" s="9"/>
      <c r="B621" s="8"/>
      <c r="C621" s="20"/>
      <c r="D621" s="8"/>
      <c r="E621" s="8"/>
    </row>
    <row r="622" spans="1:5" x14ac:dyDescent="0.3">
      <c r="A622" s="9"/>
      <c r="B622" s="8"/>
      <c r="C622" s="20"/>
      <c r="D622" s="8"/>
      <c r="E622" s="8"/>
    </row>
    <row r="623" spans="1:5" x14ac:dyDescent="0.3">
      <c r="A623" s="9"/>
      <c r="B623" s="8"/>
      <c r="C623" s="20"/>
      <c r="D623" s="8"/>
      <c r="E623" s="8"/>
    </row>
    <row r="624" spans="1:5" x14ac:dyDescent="0.3">
      <c r="A624" s="9"/>
      <c r="B624" s="8"/>
      <c r="C624" s="20"/>
      <c r="D624" s="8"/>
      <c r="E624" s="8"/>
    </row>
    <row r="625" spans="1:5" x14ac:dyDescent="0.3">
      <c r="A625" s="9"/>
      <c r="B625" s="8"/>
      <c r="C625" s="20"/>
      <c r="D625" s="8"/>
      <c r="E625" s="8"/>
    </row>
    <row r="626" spans="1:5" x14ac:dyDescent="0.3">
      <c r="A626" s="9"/>
      <c r="B626" s="8"/>
      <c r="C626" s="20"/>
      <c r="D626" s="8"/>
      <c r="E626" s="8"/>
    </row>
    <row r="627" spans="1:5" x14ac:dyDescent="0.3">
      <c r="A627" s="9"/>
      <c r="B627" s="8"/>
      <c r="C627" s="20"/>
      <c r="D627" s="8"/>
      <c r="E627" s="8"/>
    </row>
    <row r="628" spans="1:5" x14ac:dyDescent="0.3">
      <c r="A628" s="9"/>
      <c r="B628" s="8"/>
      <c r="C628" s="20"/>
      <c r="D628" s="8"/>
      <c r="E628" s="8"/>
    </row>
    <row r="629" spans="1:5" x14ac:dyDescent="0.3">
      <c r="A629" s="9"/>
      <c r="B629" s="8"/>
      <c r="C629" s="20"/>
      <c r="D629" s="8"/>
      <c r="E629" s="8"/>
    </row>
    <row r="630" spans="1:5" x14ac:dyDescent="0.3">
      <c r="A630" s="9"/>
      <c r="B630" s="8"/>
      <c r="C630" s="20"/>
      <c r="D630" s="8"/>
      <c r="E630" s="8"/>
    </row>
    <row r="631" spans="1:5" x14ac:dyDescent="0.3">
      <c r="A631" s="9"/>
      <c r="B631" s="8"/>
      <c r="C631" s="20"/>
      <c r="D631" s="8"/>
      <c r="E631" s="8"/>
    </row>
    <row r="632" spans="1:5" x14ac:dyDescent="0.3">
      <c r="A632" s="9"/>
      <c r="B632" s="8"/>
      <c r="C632" s="20"/>
      <c r="D632" s="8"/>
      <c r="E632" s="8"/>
    </row>
    <row r="633" spans="1:5" x14ac:dyDescent="0.3">
      <c r="A633" s="9"/>
      <c r="B633" s="8"/>
      <c r="C633" s="20"/>
      <c r="D633" s="8"/>
      <c r="E633" s="8"/>
    </row>
    <row r="634" spans="1:5" x14ac:dyDescent="0.3">
      <c r="A634" s="9"/>
      <c r="B634" s="8"/>
      <c r="C634" s="20"/>
      <c r="D634" s="8"/>
      <c r="E634" s="8"/>
    </row>
    <row r="635" spans="1:5" x14ac:dyDescent="0.3">
      <c r="A635" s="9"/>
      <c r="B635" s="8"/>
      <c r="C635" s="20"/>
      <c r="D635" s="8"/>
      <c r="E635" s="8"/>
    </row>
    <row r="636" spans="1:5" x14ac:dyDescent="0.3">
      <c r="A636" s="9"/>
      <c r="B636" s="8"/>
      <c r="C636" s="20"/>
      <c r="D636" s="8"/>
      <c r="E636" s="8"/>
    </row>
    <row r="637" spans="1:5" x14ac:dyDescent="0.3">
      <c r="A637" s="9"/>
      <c r="B637" s="8"/>
      <c r="C637" s="20"/>
      <c r="D637" s="8"/>
      <c r="E637" s="8"/>
    </row>
    <row r="638" spans="1:5" x14ac:dyDescent="0.3">
      <c r="A638" s="9"/>
      <c r="B638" s="8"/>
      <c r="C638" s="20"/>
      <c r="D638" s="8"/>
      <c r="E638" s="8"/>
    </row>
    <row r="639" spans="1:5" x14ac:dyDescent="0.3">
      <c r="A639" s="9"/>
      <c r="B639" s="8"/>
      <c r="C639" s="20"/>
      <c r="D639" s="8"/>
      <c r="E639" s="8"/>
    </row>
    <row r="640" spans="1:5" x14ac:dyDescent="0.3">
      <c r="A640" s="9"/>
      <c r="B640" s="8"/>
      <c r="C640" s="20"/>
      <c r="D640" s="8"/>
      <c r="E640" s="8"/>
    </row>
    <row r="641" spans="1:5" x14ac:dyDescent="0.3">
      <c r="A641" s="9"/>
      <c r="B641" s="8"/>
      <c r="C641" s="20"/>
      <c r="D641" s="8"/>
      <c r="E641" s="8"/>
    </row>
    <row r="642" spans="1:5" x14ac:dyDescent="0.3">
      <c r="A642" s="9"/>
      <c r="B642" s="8"/>
      <c r="C642" s="20"/>
      <c r="D642" s="8"/>
      <c r="E642" s="8"/>
    </row>
    <row r="643" spans="1:5" x14ac:dyDescent="0.3">
      <c r="A643" s="9"/>
      <c r="B643" s="8"/>
      <c r="C643" s="20"/>
      <c r="D643" s="8"/>
      <c r="E643" s="8"/>
    </row>
    <row r="644" spans="1:5" x14ac:dyDescent="0.3">
      <c r="A644" s="9"/>
      <c r="B644" s="8"/>
      <c r="C644" s="20"/>
      <c r="D644" s="8"/>
      <c r="E644" s="8"/>
    </row>
    <row r="645" spans="1:5" x14ac:dyDescent="0.3">
      <c r="A645" s="9"/>
      <c r="B645" s="8"/>
      <c r="C645" s="20"/>
      <c r="D645" s="8"/>
      <c r="E645" s="8"/>
    </row>
    <row r="646" spans="1:5" x14ac:dyDescent="0.3">
      <c r="A646" s="9"/>
      <c r="B646" s="8"/>
      <c r="C646" s="20"/>
      <c r="D646" s="8"/>
      <c r="E646" s="8"/>
    </row>
    <row r="647" spans="1:5" x14ac:dyDescent="0.3">
      <c r="A647" s="9"/>
      <c r="B647" s="8"/>
      <c r="C647" s="20"/>
      <c r="D647" s="8"/>
      <c r="E647" s="8"/>
    </row>
    <row r="648" spans="1:5" x14ac:dyDescent="0.3">
      <c r="A648" s="9"/>
      <c r="B648" s="8"/>
      <c r="C648" s="20"/>
      <c r="D648" s="8"/>
      <c r="E648" s="8"/>
    </row>
    <row r="649" spans="1:5" x14ac:dyDescent="0.3">
      <c r="A649" s="9"/>
      <c r="B649" s="8"/>
      <c r="C649" s="20"/>
      <c r="D649" s="8"/>
      <c r="E649" s="8"/>
    </row>
    <row r="650" spans="1:5" x14ac:dyDescent="0.3">
      <c r="A650" s="9"/>
      <c r="B650" s="8"/>
      <c r="C650" s="20"/>
      <c r="D650" s="8"/>
      <c r="E650" s="8"/>
    </row>
    <row r="651" spans="1:5" x14ac:dyDescent="0.3">
      <c r="A651" s="9"/>
      <c r="B651" s="8"/>
      <c r="C651" s="20"/>
      <c r="D651" s="8"/>
      <c r="E651" s="8"/>
    </row>
    <row r="652" spans="1:5" x14ac:dyDescent="0.3">
      <c r="A652" s="9"/>
      <c r="B652" s="8"/>
      <c r="C652" s="20"/>
      <c r="D652" s="8"/>
      <c r="E652" s="8"/>
    </row>
    <row r="653" spans="1:5" x14ac:dyDescent="0.3">
      <c r="A653" s="9"/>
      <c r="B653" s="8"/>
      <c r="C653" s="20"/>
      <c r="D653" s="8"/>
      <c r="E653" s="8"/>
    </row>
    <row r="654" spans="1:5" x14ac:dyDescent="0.3">
      <c r="A654" s="9"/>
      <c r="B654" s="8"/>
      <c r="C654" s="20"/>
      <c r="D654" s="8"/>
      <c r="E654" s="8"/>
    </row>
    <row r="655" spans="1:5" x14ac:dyDescent="0.3">
      <c r="A655" s="9"/>
      <c r="B655" s="8"/>
      <c r="C655" s="20"/>
      <c r="D655" s="8"/>
      <c r="E655" s="8"/>
    </row>
    <row r="656" spans="1:5" x14ac:dyDescent="0.3">
      <c r="A656" s="9"/>
      <c r="B656" s="8"/>
      <c r="C656" s="20"/>
      <c r="D656" s="8"/>
      <c r="E656" s="8"/>
    </row>
    <row r="657" spans="1:5" x14ac:dyDescent="0.3">
      <c r="A657" s="9"/>
      <c r="B657" s="8"/>
      <c r="C657" s="20"/>
      <c r="D657" s="8"/>
      <c r="E657" s="8"/>
    </row>
    <row r="658" spans="1:5" x14ac:dyDescent="0.3">
      <c r="A658" s="9"/>
      <c r="B658" s="8"/>
      <c r="C658" s="20"/>
      <c r="D658" s="8"/>
      <c r="E658" s="8"/>
    </row>
    <row r="659" spans="1:5" x14ac:dyDescent="0.3">
      <c r="A659" s="9"/>
      <c r="B659" s="8"/>
      <c r="C659" s="20"/>
      <c r="D659" s="8"/>
      <c r="E659" s="8"/>
    </row>
    <row r="660" spans="1:5" x14ac:dyDescent="0.3">
      <c r="A660" s="9"/>
      <c r="B660" s="8"/>
      <c r="C660" s="20"/>
      <c r="D660" s="8"/>
      <c r="E660" s="8"/>
    </row>
    <row r="661" spans="1:5" x14ac:dyDescent="0.3">
      <c r="A661" s="9"/>
      <c r="B661" s="8"/>
      <c r="C661" s="20"/>
      <c r="D661" s="8"/>
      <c r="E661" s="8"/>
    </row>
    <row r="662" spans="1:5" x14ac:dyDescent="0.3">
      <c r="A662" s="9"/>
      <c r="B662" s="8"/>
      <c r="C662" s="20"/>
      <c r="D662" s="8"/>
      <c r="E662" s="8"/>
    </row>
    <row r="663" spans="1:5" x14ac:dyDescent="0.3">
      <c r="A663" s="9"/>
      <c r="B663" s="8"/>
      <c r="C663" s="20"/>
      <c r="D663" s="8"/>
      <c r="E663" s="8"/>
    </row>
    <row r="664" spans="1:5" x14ac:dyDescent="0.3">
      <c r="A664" s="9"/>
      <c r="B664" s="8"/>
      <c r="C664" s="20"/>
      <c r="D664" s="8"/>
      <c r="E664" s="8"/>
    </row>
    <row r="665" spans="1:5" x14ac:dyDescent="0.3">
      <c r="A665" s="9"/>
      <c r="B665" s="8"/>
      <c r="C665" s="20"/>
      <c r="D665" s="8"/>
      <c r="E665" s="8"/>
    </row>
    <row r="666" spans="1:5" x14ac:dyDescent="0.3">
      <c r="A666" s="9"/>
      <c r="B666" s="8"/>
      <c r="C666" s="20"/>
      <c r="D666" s="8"/>
      <c r="E666" s="8"/>
    </row>
    <row r="667" spans="1:5" x14ac:dyDescent="0.3">
      <c r="A667" s="9"/>
      <c r="B667" s="8"/>
      <c r="C667" s="20"/>
      <c r="D667" s="8"/>
      <c r="E667" s="8"/>
    </row>
    <row r="668" spans="1:5" x14ac:dyDescent="0.3">
      <c r="A668" s="9"/>
      <c r="B668" s="8"/>
      <c r="C668" s="20"/>
      <c r="D668" s="8"/>
      <c r="E668" s="8"/>
    </row>
    <row r="669" spans="1:5" x14ac:dyDescent="0.3">
      <c r="A669" s="9"/>
      <c r="B669" s="8"/>
      <c r="C669" s="20"/>
      <c r="D669" s="8"/>
      <c r="E669" s="8"/>
    </row>
    <row r="670" spans="1:5" x14ac:dyDescent="0.3">
      <c r="A670" s="9"/>
      <c r="B670" s="8"/>
      <c r="C670" s="20"/>
      <c r="D670" s="8"/>
      <c r="E670" s="8"/>
    </row>
    <row r="671" spans="1:5" x14ac:dyDescent="0.3">
      <c r="A671" s="9"/>
      <c r="B671" s="8"/>
      <c r="C671" s="20"/>
      <c r="D671" s="8"/>
      <c r="E671" s="8"/>
    </row>
    <row r="672" spans="1:5" x14ac:dyDescent="0.3">
      <c r="A672" s="9"/>
      <c r="B672" s="8"/>
      <c r="C672" s="20"/>
      <c r="D672" s="8"/>
      <c r="E672" s="8"/>
    </row>
    <row r="673" spans="1:5" x14ac:dyDescent="0.3">
      <c r="A673" s="9"/>
      <c r="B673" s="8"/>
      <c r="C673" s="20"/>
      <c r="D673" s="8"/>
      <c r="E673" s="8"/>
    </row>
    <row r="674" spans="1:5" x14ac:dyDescent="0.3">
      <c r="A674" s="9"/>
      <c r="B674" s="8"/>
      <c r="C674" s="20"/>
      <c r="D674" s="8"/>
      <c r="E674" s="8"/>
    </row>
    <row r="675" spans="1:5" x14ac:dyDescent="0.3">
      <c r="A675" s="9"/>
      <c r="B675" s="8"/>
      <c r="C675" s="20"/>
      <c r="D675" s="8"/>
      <c r="E675" s="8"/>
    </row>
    <row r="676" spans="1:5" x14ac:dyDescent="0.3">
      <c r="A676" s="9"/>
      <c r="B676" s="8"/>
      <c r="C676" s="20"/>
      <c r="D676" s="8"/>
      <c r="E676" s="8"/>
    </row>
    <row r="677" spans="1:5" x14ac:dyDescent="0.3">
      <c r="A677" s="9"/>
      <c r="B677" s="8"/>
      <c r="C677" s="20"/>
      <c r="D677" s="8"/>
      <c r="E677" s="8"/>
    </row>
    <row r="678" spans="1:5" x14ac:dyDescent="0.3">
      <c r="A678" s="9"/>
      <c r="B678" s="8"/>
      <c r="C678" s="20"/>
      <c r="D678" s="8"/>
      <c r="E678" s="8"/>
    </row>
    <row r="679" spans="1:5" x14ac:dyDescent="0.3">
      <c r="A679" s="9"/>
      <c r="B679" s="8"/>
      <c r="C679" s="20"/>
      <c r="D679" s="8"/>
      <c r="E679" s="8"/>
    </row>
    <row r="680" spans="1:5" x14ac:dyDescent="0.3">
      <c r="A680" s="9"/>
      <c r="B680" s="8"/>
      <c r="C680" s="20"/>
      <c r="D680" s="8"/>
      <c r="E680" s="8"/>
    </row>
    <row r="681" spans="1:5" x14ac:dyDescent="0.3">
      <c r="A681" s="9"/>
      <c r="B681" s="8"/>
      <c r="C681" s="20"/>
      <c r="D681" s="8"/>
      <c r="E681" s="8"/>
    </row>
    <row r="682" spans="1:5" x14ac:dyDescent="0.3">
      <c r="A682" s="9"/>
      <c r="B682" s="8"/>
      <c r="C682" s="20"/>
      <c r="D682" s="8"/>
      <c r="E682" s="8"/>
    </row>
    <row r="683" spans="1:5" x14ac:dyDescent="0.3">
      <c r="A683" s="9"/>
      <c r="B683" s="8"/>
      <c r="C683" s="20"/>
      <c r="D683" s="8"/>
      <c r="E683" s="8"/>
    </row>
    <row r="684" spans="1:5" x14ac:dyDescent="0.3">
      <c r="A684" s="9"/>
      <c r="B684" s="8"/>
      <c r="C684" s="20"/>
      <c r="D684" s="8"/>
      <c r="E684" s="8"/>
    </row>
    <row r="685" spans="1:5" x14ac:dyDescent="0.3">
      <c r="A685" s="9"/>
      <c r="B685" s="8"/>
      <c r="C685" s="20"/>
      <c r="D685" s="8"/>
      <c r="E685" s="8"/>
    </row>
    <row r="686" spans="1:5" x14ac:dyDescent="0.3">
      <c r="A686" s="9"/>
      <c r="B686" s="8"/>
      <c r="C686" s="20"/>
      <c r="D686" s="8"/>
      <c r="E686" s="8"/>
    </row>
    <row r="687" spans="1:5" x14ac:dyDescent="0.3">
      <c r="A687" s="9"/>
      <c r="B687" s="8"/>
      <c r="C687" s="20"/>
      <c r="D687" s="8"/>
      <c r="E687" s="8"/>
    </row>
    <row r="688" spans="1:5" x14ac:dyDescent="0.3">
      <c r="A688" s="9"/>
      <c r="B688" s="8"/>
      <c r="C688" s="20"/>
      <c r="D688" s="8"/>
      <c r="E688" s="8"/>
    </row>
    <row r="689" spans="1:5" x14ac:dyDescent="0.3">
      <c r="A689" s="9"/>
      <c r="B689" s="8"/>
      <c r="C689" s="20"/>
      <c r="D689" s="8"/>
      <c r="E689" s="8"/>
    </row>
    <row r="690" spans="1:5" x14ac:dyDescent="0.3">
      <c r="A690" s="9"/>
      <c r="B690" s="8"/>
      <c r="C690" s="20"/>
      <c r="D690" s="8"/>
      <c r="E690" s="8"/>
    </row>
    <row r="691" spans="1:5" x14ac:dyDescent="0.3">
      <c r="A691" s="9"/>
      <c r="B691" s="8"/>
      <c r="C691" s="20"/>
      <c r="D691" s="8"/>
      <c r="E691" s="8"/>
    </row>
    <row r="692" spans="1:5" x14ac:dyDescent="0.3">
      <c r="A692" s="9"/>
      <c r="B692" s="8"/>
      <c r="C692" s="20"/>
      <c r="D692" s="8"/>
      <c r="E692" s="8"/>
    </row>
    <row r="693" spans="1:5" x14ac:dyDescent="0.3">
      <c r="A693" s="9"/>
      <c r="B693" s="8"/>
      <c r="C693" s="20"/>
      <c r="D693" s="8"/>
      <c r="E693" s="8"/>
    </row>
    <row r="694" spans="1:5" x14ac:dyDescent="0.3">
      <c r="A694" s="9"/>
      <c r="B694" s="8"/>
      <c r="C694" s="20"/>
      <c r="D694" s="8"/>
      <c r="E694" s="8"/>
    </row>
    <row r="695" spans="1:5" x14ac:dyDescent="0.3">
      <c r="A695" s="9"/>
      <c r="B695" s="8"/>
      <c r="C695" s="20"/>
      <c r="D695" s="8"/>
      <c r="E695" s="8"/>
    </row>
    <row r="696" spans="1:5" x14ac:dyDescent="0.3">
      <c r="A696" s="9"/>
      <c r="B696" s="8"/>
      <c r="C696" s="20"/>
      <c r="D696" s="8"/>
      <c r="E696" s="8"/>
    </row>
    <row r="697" spans="1:5" x14ac:dyDescent="0.3">
      <c r="A697" s="9"/>
      <c r="B697" s="8"/>
      <c r="C697" s="20"/>
      <c r="D697" s="8"/>
      <c r="E697" s="8"/>
    </row>
    <row r="698" spans="1:5" x14ac:dyDescent="0.3">
      <c r="A698" s="9"/>
      <c r="B698" s="8"/>
      <c r="C698" s="20"/>
      <c r="D698" s="8"/>
      <c r="E698" s="8"/>
    </row>
    <row r="699" spans="1:5" x14ac:dyDescent="0.3">
      <c r="A699" s="9"/>
      <c r="B699" s="8"/>
      <c r="C699" s="20"/>
      <c r="D699" s="8"/>
      <c r="E699" s="8"/>
    </row>
    <row r="700" spans="1:5" x14ac:dyDescent="0.3">
      <c r="A700" s="9"/>
      <c r="B700" s="8"/>
      <c r="C700" s="20"/>
      <c r="D700" s="8"/>
      <c r="E700" s="8"/>
    </row>
    <row r="701" spans="1:5" x14ac:dyDescent="0.3">
      <c r="A701" s="9"/>
      <c r="B701" s="8"/>
      <c r="C701" s="20"/>
      <c r="D701" s="8"/>
      <c r="E701" s="8"/>
    </row>
    <row r="702" spans="1:5" x14ac:dyDescent="0.3">
      <c r="A702" s="9"/>
      <c r="B702" s="8"/>
      <c r="C702" s="20"/>
      <c r="D702" s="8"/>
      <c r="E702" s="8"/>
    </row>
    <row r="703" spans="1:5" x14ac:dyDescent="0.3">
      <c r="A703" s="9"/>
      <c r="B703" s="8"/>
      <c r="C703" s="20"/>
      <c r="D703" s="8"/>
      <c r="E703" s="8"/>
    </row>
    <row r="704" spans="1:5" x14ac:dyDescent="0.3">
      <c r="A704" s="9"/>
      <c r="B704" s="8"/>
      <c r="C704" s="20"/>
      <c r="D704" s="8"/>
      <c r="E704" s="8"/>
    </row>
    <row r="705" spans="1:5" x14ac:dyDescent="0.3">
      <c r="A705" s="9"/>
      <c r="B705" s="8"/>
      <c r="C705" s="20"/>
      <c r="D705" s="8"/>
      <c r="E705" s="8"/>
    </row>
    <row r="706" spans="1:5" x14ac:dyDescent="0.3">
      <c r="A706" s="9"/>
      <c r="B706" s="8"/>
      <c r="C706" s="20"/>
      <c r="D706" s="8"/>
      <c r="E706" s="8"/>
    </row>
    <row r="707" spans="1:5" x14ac:dyDescent="0.3">
      <c r="A707" s="9"/>
      <c r="B707" s="8"/>
      <c r="C707" s="20"/>
      <c r="D707" s="8"/>
      <c r="E707" s="8"/>
    </row>
    <row r="708" spans="1:5" x14ac:dyDescent="0.3">
      <c r="A708" s="9"/>
      <c r="B708" s="8"/>
      <c r="C708" s="20"/>
      <c r="D708" s="8"/>
      <c r="E708" s="8"/>
    </row>
    <row r="709" spans="1:5" x14ac:dyDescent="0.3">
      <c r="A709" s="9"/>
      <c r="B709" s="8"/>
      <c r="C709" s="20"/>
      <c r="D709" s="8"/>
      <c r="E709" s="8"/>
    </row>
    <row r="710" spans="1:5" x14ac:dyDescent="0.3">
      <c r="A710" s="9"/>
      <c r="B710" s="8"/>
      <c r="C710" s="20"/>
      <c r="D710" s="8"/>
      <c r="E710" s="8"/>
    </row>
    <row r="711" spans="1:5" x14ac:dyDescent="0.3">
      <c r="A711" s="9"/>
      <c r="B711" s="8"/>
      <c r="C711" s="20"/>
      <c r="D711" s="8"/>
      <c r="E711" s="8"/>
    </row>
    <row r="712" spans="1:5" x14ac:dyDescent="0.3">
      <c r="A712" s="9"/>
      <c r="B712" s="8"/>
      <c r="C712" s="20"/>
      <c r="D712" s="8"/>
      <c r="E712" s="8"/>
    </row>
    <row r="713" spans="1:5" x14ac:dyDescent="0.3">
      <c r="A713" s="9"/>
      <c r="B713" s="8"/>
      <c r="C713" s="20"/>
      <c r="D713" s="8"/>
      <c r="E713" s="8"/>
    </row>
    <row r="714" spans="1:5" x14ac:dyDescent="0.3">
      <c r="A714" s="9"/>
      <c r="B714" s="8"/>
      <c r="C714" s="20"/>
      <c r="D714" s="8"/>
      <c r="E714" s="8"/>
    </row>
    <row r="715" spans="1:5" x14ac:dyDescent="0.3">
      <c r="A715" s="9"/>
      <c r="B715" s="8"/>
      <c r="C715" s="20"/>
      <c r="D715" s="8"/>
      <c r="E715" s="8"/>
    </row>
    <row r="716" spans="1:5" x14ac:dyDescent="0.3">
      <c r="A716" s="9"/>
      <c r="B716" s="8"/>
      <c r="C716" s="20"/>
      <c r="D716" s="8"/>
      <c r="E716" s="8"/>
    </row>
    <row r="717" spans="1:5" x14ac:dyDescent="0.3">
      <c r="A717" s="9"/>
      <c r="B717" s="8"/>
      <c r="C717" s="20"/>
      <c r="D717" s="8"/>
      <c r="E717" s="8"/>
    </row>
    <row r="718" spans="1:5" x14ac:dyDescent="0.3">
      <c r="A718" s="9"/>
      <c r="B718" s="8"/>
      <c r="C718" s="20"/>
      <c r="D718" s="8"/>
      <c r="E718" s="8"/>
    </row>
    <row r="719" spans="1:5" x14ac:dyDescent="0.3">
      <c r="A719" s="9"/>
      <c r="B719" s="8"/>
      <c r="C719" s="20"/>
      <c r="D719" s="8"/>
      <c r="E719" s="8"/>
    </row>
    <row r="720" spans="1:5" x14ac:dyDescent="0.3">
      <c r="A720" s="9"/>
      <c r="B720" s="8"/>
      <c r="C720" s="20"/>
      <c r="D720" s="8"/>
      <c r="E720" s="8"/>
    </row>
    <row r="721" spans="1:5" x14ac:dyDescent="0.3">
      <c r="A721" s="9"/>
      <c r="B721" s="8"/>
      <c r="C721" s="20"/>
      <c r="D721" s="8"/>
      <c r="E721" s="8"/>
    </row>
    <row r="722" spans="1:5" x14ac:dyDescent="0.3">
      <c r="A722" s="9"/>
      <c r="B722" s="8"/>
      <c r="C722" s="20"/>
      <c r="D722" s="8"/>
      <c r="E722" s="8"/>
    </row>
    <row r="723" spans="1:5" x14ac:dyDescent="0.3">
      <c r="A723" s="9"/>
      <c r="B723" s="8"/>
      <c r="C723" s="20"/>
      <c r="D723" s="8"/>
      <c r="E723" s="8"/>
    </row>
    <row r="724" spans="1:5" x14ac:dyDescent="0.3">
      <c r="A724" s="9"/>
      <c r="B724" s="8"/>
      <c r="C724" s="20"/>
      <c r="D724" s="8"/>
      <c r="E724" s="8"/>
    </row>
    <row r="725" spans="1:5" x14ac:dyDescent="0.3">
      <c r="A725" s="9"/>
      <c r="B725" s="8"/>
      <c r="C725" s="20"/>
      <c r="D725" s="8"/>
      <c r="E725" s="8"/>
    </row>
    <row r="726" spans="1:5" x14ac:dyDescent="0.3">
      <c r="A726" s="9"/>
      <c r="B726" s="8"/>
      <c r="C726" s="20"/>
      <c r="D726" s="8"/>
      <c r="E726" s="8"/>
    </row>
    <row r="727" spans="1:5" x14ac:dyDescent="0.3">
      <c r="A727" s="9"/>
      <c r="B727" s="8"/>
      <c r="C727" s="20"/>
      <c r="D727" s="8"/>
      <c r="E727" s="8"/>
    </row>
    <row r="728" spans="1:5" x14ac:dyDescent="0.3">
      <c r="A728" s="9"/>
      <c r="B728" s="8"/>
      <c r="C728" s="20"/>
      <c r="D728" s="8"/>
      <c r="E728" s="8"/>
    </row>
    <row r="729" spans="1:5" x14ac:dyDescent="0.3">
      <c r="A729" s="9"/>
      <c r="B729" s="8"/>
      <c r="C729" s="20"/>
      <c r="D729" s="8"/>
      <c r="E729" s="8"/>
    </row>
    <row r="730" spans="1:5" x14ac:dyDescent="0.3">
      <c r="A730" s="9"/>
      <c r="B730" s="8"/>
      <c r="C730" s="20"/>
      <c r="D730" s="8"/>
      <c r="E730" s="8"/>
    </row>
    <row r="731" spans="1:5" x14ac:dyDescent="0.3">
      <c r="A731" s="9"/>
      <c r="B731" s="8"/>
      <c r="C731" s="20"/>
      <c r="D731" s="8"/>
      <c r="E731" s="8"/>
    </row>
    <row r="732" spans="1:5" x14ac:dyDescent="0.3">
      <c r="A732" s="9"/>
      <c r="B732" s="8"/>
      <c r="C732" s="20"/>
      <c r="D732" s="8"/>
      <c r="E732" s="8"/>
    </row>
    <row r="733" spans="1:5" x14ac:dyDescent="0.3">
      <c r="A733" s="9"/>
      <c r="B733" s="8"/>
      <c r="C733" s="20"/>
      <c r="D733" s="8"/>
      <c r="E733" s="8"/>
    </row>
    <row r="734" spans="1:5" x14ac:dyDescent="0.3">
      <c r="A734" s="9"/>
      <c r="B734" s="8"/>
      <c r="C734" s="20"/>
      <c r="D734" s="8"/>
      <c r="E734" s="8"/>
    </row>
    <row r="735" spans="1:5" x14ac:dyDescent="0.3">
      <c r="A735" s="9"/>
      <c r="B735" s="8"/>
      <c r="C735" s="20"/>
      <c r="D735" s="8"/>
      <c r="E735" s="8"/>
    </row>
    <row r="736" spans="1:5" x14ac:dyDescent="0.3">
      <c r="A736" s="9"/>
      <c r="B736" s="8"/>
      <c r="C736" s="20"/>
      <c r="D736" s="8"/>
      <c r="E736" s="8"/>
    </row>
    <row r="737" spans="1:5" x14ac:dyDescent="0.3">
      <c r="A737" s="9"/>
      <c r="B737" s="8"/>
      <c r="C737" s="20"/>
      <c r="D737" s="8"/>
      <c r="E737" s="8"/>
    </row>
    <row r="738" spans="1:5" x14ac:dyDescent="0.3">
      <c r="A738" s="9"/>
      <c r="B738" s="8"/>
      <c r="C738" s="20"/>
      <c r="D738" s="8"/>
      <c r="E738" s="8"/>
    </row>
    <row r="739" spans="1:5" x14ac:dyDescent="0.3">
      <c r="A739" s="9"/>
      <c r="B739" s="8"/>
      <c r="C739" s="20"/>
      <c r="D739" s="8"/>
      <c r="E739" s="8"/>
    </row>
    <row r="740" spans="1:5" x14ac:dyDescent="0.3">
      <c r="A740" s="9"/>
      <c r="B740" s="8"/>
      <c r="C740" s="20"/>
      <c r="D740" s="8"/>
      <c r="E740" s="8"/>
    </row>
    <row r="741" spans="1:5" x14ac:dyDescent="0.3">
      <c r="A741" s="9"/>
      <c r="B741" s="8"/>
      <c r="C741" s="20"/>
      <c r="D741" s="8"/>
      <c r="E741" s="8"/>
    </row>
    <row r="742" spans="1:5" x14ac:dyDescent="0.3">
      <c r="A742" s="9"/>
      <c r="B742" s="8"/>
      <c r="C742" s="20"/>
      <c r="D742" s="8"/>
      <c r="E742" s="8"/>
    </row>
    <row r="743" spans="1:5" x14ac:dyDescent="0.3">
      <c r="A743" s="9"/>
      <c r="B743" s="8"/>
      <c r="C743" s="20"/>
      <c r="D743" s="8"/>
      <c r="E743" s="8"/>
    </row>
    <row r="744" spans="1:5" x14ac:dyDescent="0.3">
      <c r="A744" s="9"/>
      <c r="B744" s="8"/>
      <c r="C744" s="20"/>
      <c r="D744" s="8"/>
      <c r="E744" s="8"/>
    </row>
    <row r="745" spans="1:5" x14ac:dyDescent="0.3">
      <c r="A745" s="9"/>
      <c r="B745" s="8"/>
      <c r="C745" s="20"/>
      <c r="D745" s="8"/>
      <c r="E745" s="8"/>
    </row>
    <row r="746" spans="1:5" x14ac:dyDescent="0.3">
      <c r="A746" s="9"/>
      <c r="B746" s="8"/>
      <c r="C746" s="20"/>
      <c r="D746" s="8"/>
      <c r="E746" s="8"/>
    </row>
    <row r="747" spans="1:5" x14ac:dyDescent="0.3">
      <c r="A747" s="9"/>
      <c r="B747" s="8"/>
      <c r="C747" s="20"/>
      <c r="D747" s="8"/>
      <c r="E747" s="8"/>
    </row>
    <row r="748" spans="1:5" x14ac:dyDescent="0.3">
      <c r="A748" s="9"/>
      <c r="B748" s="8"/>
      <c r="C748" s="20"/>
      <c r="D748" s="8"/>
      <c r="E748" s="8"/>
    </row>
    <row r="749" spans="1:5" x14ac:dyDescent="0.3">
      <c r="A749" s="9"/>
      <c r="B749" s="8"/>
      <c r="C749" s="20"/>
      <c r="D749" s="8"/>
      <c r="E749" s="8"/>
    </row>
    <row r="750" spans="1:5" x14ac:dyDescent="0.3">
      <c r="A750" s="9"/>
      <c r="B750" s="8"/>
      <c r="C750" s="20"/>
      <c r="D750" s="8"/>
      <c r="E750" s="8"/>
    </row>
    <row r="751" spans="1:5" x14ac:dyDescent="0.3">
      <c r="A751" s="9"/>
      <c r="B751" s="8"/>
      <c r="C751" s="20"/>
      <c r="D751" s="8"/>
      <c r="E751" s="8"/>
    </row>
    <row r="752" spans="1:5" x14ac:dyDescent="0.3">
      <c r="A752" s="9"/>
      <c r="B752" s="8"/>
      <c r="C752" s="20"/>
      <c r="D752" s="8"/>
      <c r="E752" s="8"/>
    </row>
    <row r="753" spans="1:5" x14ac:dyDescent="0.3">
      <c r="A753" s="9"/>
      <c r="B753" s="8"/>
      <c r="C753" s="20"/>
      <c r="D753" s="8"/>
      <c r="E753" s="8"/>
    </row>
    <row r="754" spans="1:5" x14ac:dyDescent="0.3">
      <c r="A754" s="9"/>
      <c r="B754" s="8"/>
      <c r="C754" s="20"/>
      <c r="D754" s="8"/>
      <c r="E754" s="8"/>
    </row>
    <row r="755" spans="1:5" x14ac:dyDescent="0.3">
      <c r="A755" s="9"/>
      <c r="B755" s="8"/>
      <c r="C755" s="20"/>
      <c r="D755" s="8"/>
      <c r="E755" s="8"/>
    </row>
    <row r="756" spans="1:5" x14ac:dyDescent="0.3">
      <c r="A756" s="9"/>
      <c r="B756" s="8"/>
      <c r="C756" s="20"/>
      <c r="D756" s="8"/>
      <c r="E756" s="8"/>
    </row>
    <row r="757" spans="1:5" x14ac:dyDescent="0.3">
      <c r="A757" s="9"/>
      <c r="B757" s="8"/>
      <c r="C757" s="20"/>
      <c r="D757" s="8"/>
      <c r="E757" s="8"/>
    </row>
    <row r="758" spans="1:5" x14ac:dyDescent="0.3">
      <c r="A758" s="9"/>
      <c r="B758" s="8"/>
      <c r="C758" s="20"/>
      <c r="D758" s="8"/>
      <c r="E758" s="8"/>
    </row>
    <row r="759" spans="1:5" x14ac:dyDescent="0.3">
      <c r="A759" s="9"/>
      <c r="B759" s="8"/>
      <c r="C759" s="20"/>
      <c r="D759" s="8"/>
      <c r="E759" s="8"/>
    </row>
    <row r="760" spans="1:5" x14ac:dyDescent="0.3">
      <c r="A760" s="9"/>
      <c r="B760" s="8"/>
      <c r="C760" s="20"/>
      <c r="D760" s="8"/>
      <c r="E760" s="8"/>
    </row>
    <row r="761" spans="1:5" x14ac:dyDescent="0.3">
      <c r="A761" s="9"/>
      <c r="B761" s="8"/>
      <c r="C761" s="20"/>
      <c r="D761" s="8"/>
      <c r="E761" s="8"/>
    </row>
    <row r="762" spans="1:5" x14ac:dyDescent="0.3">
      <c r="A762" s="9"/>
      <c r="B762" s="8"/>
      <c r="C762" s="20"/>
      <c r="D762" s="8"/>
      <c r="E762" s="8"/>
    </row>
    <row r="763" spans="1:5" x14ac:dyDescent="0.3">
      <c r="A763" s="9"/>
      <c r="B763" s="8"/>
      <c r="C763" s="20"/>
      <c r="D763" s="8"/>
      <c r="E763" s="8"/>
    </row>
    <row r="764" spans="1:5" x14ac:dyDescent="0.3">
      <c r="A764" s="9"/>
      <c r="B764" s="8"/>
      <c r="C764" s="20"/>
      <c r="D764" s="8"/>
      <c r="E764" s="8"/>
    </row>
    <row r="765" spans="1:5" x14ac:dyDescent="0.3">
      <c r="A765" s="9"/>
      <c r="B765" s="8"/>
      <c r="C765" s="20"/>
      <c r="D765" s="8"/>
      <c r="E765" s="8"/>
    </row>
    <row r="766" spans="1:5" x14ac:dyDescent="0.3">
      <c r="A766" s="9"/>
      <c r="B766" s="8"/>
      <c r="C766" s="20"/>
      <c r="D766" s="8"/>
      <c r="E766" s="8"/>
    </row>
    <row r="767" spans="1:5" x14ac:dyDescent="0.3">
      <c r="A767" s="9"/>
      <c r="B767" s="8"/>
      <c r="C767" s="20"/>
      <c r="D767" s="8"/>
      <c r="E767" s="8"/>
    </row>
    <row r="768" spans="1:5" x14ac:dyDescent="0.3">
      <c r="A768" s="9"/>
      <c r="B768" s="8"/>
      <c r="C768" s="20"/>
      <c r="D768" s="8"/>
      <c r="E768" s="8"/>
    </row>
    <row r="769" spans="1:5" x14ac:dyDescent="0.3">
      <c r="A769" s="9"/>
      <c r="B769" s="8"/>
      <c r="C769" s="20"/>
      <c r="D769" s="8"/>
      <c r="E769" s="8"/>
    </row>
    <row r="770" spans="1:5" x14ac:dyDescent="0.3">
      <c r="A770" s="9"/>
      <c r="B770" s="8"/>
      <c r="C770" s="20"/>
      <c r="D770" s="8"/>
      <c r="E770" s="8"/>
    </row>
    <row r="771" spans="1:5" x14ac:dyDescent="0.3">
      <c r="A771" s="9"/>
      <c r="B771" s="8"/>
      <c r="C771" s="20"/>
      <c r="D771" s="8"/>
      <c r="E771" s="8"/>
    </row>
    <row r="772" spans="1:5" x14ac:dyDescent="0.3">
      <c r="A772" s="9"/>
      <c r="B772" s="8"/>
      <c r="C772" s="20"/>
      <c r="D772" s="8"/>
      <c r="E772" s="8"/>
    </row>
    <row r="773" spans="1:5" x14ac:dyDescent="0.3">
      <c r="A773" s="9"/>
      <c r="B773" s="8"/>
      <c r="C773" s="20"/>
      <c r="D773" s="8"/>
      <c r="E773" s="8"/>
    </row>
    <row r="774" spans="1:5" x14ac:dyDescent="0.3">
      <c r="A774" s="9"/>
      <c r="B774" s="8"/>
      <c r="C774" s="20"/>
      <c r="D774" s="8"/>
      <c r="E774" s="8"/>
    </row>
    <row r="775" spans="1:5" x14ac:dyDescent="0.3">
      <c r="A775" s="9"/>
      <c r="B775" s="8"/>
      <c r="C775" s="20"/>
      <c r="D775" s="8"/>
      <c r="E775" s="8"/>
    </row>
    <row r="776" spans="1:5" x14ac:dyDescent="0.3">
      <c r="A776" s="9"/>
      <c r="B776" s="8"/>
      <c r="C776" s="20"/>
      <c r="D776" s="8"/>
      <c r="E776" s="8"/>
    </row>
    <row r="777" spans="1:5" x14ac:dyDescent="0.3">
      <c r="A777" s="9"/>
      <c r="B777" s="8"/>
      <c r="C777" s="20"/>
      <c r="D777" s="8"/>
      <c r="E777" s="8"/>
    </row>
    <row r="778" spans="1:5" x14ac:dyDescent="0.3">
      <c r="A778" s="9"/>
      <c r="B778" s="8"/>
      <c r="C778" s="20"/>
      <c r="D778" s="8"/>
      <c r="E778" s="8"/>
    </row>
    <row r="779" spans="1:5" x14ac:dyDescent="0.3">
      <c r="A779" s="9"/>
      <c r="B779" s="8"/>
      <c r="C779" s="20"/>
      <c r="D779" s="8"/>
      <c r="E779" s="8"/>
    </row>
    <row r="780" spans="1:5" x14ac:dyDescent="0.3">
      <c r="A780" s="9"/>
      <c r="B780" s="8"/>
      <c r="C780" s="20"/>
      <c r="D780" s="8"/>
      <c r="E780" s="8"/>
    </row>
    <row r="781" spans="1:5" x14ac:dyDescent="0.3">
      <c r="A781" s="9"/>
      <c r="B781" s="8"/>
      <c r="C781" s="20"/>
      <c r="D781" s="8"/>
      <c r="E781" s="8"/>
    </row>
    <row r="782" spans="1:5" x14ac:dyDescent="0.3">
      <c r="A782" s="9"/>
      <c r="B782" s="8"/>
      <c r="C782" s="20"/>
      <c r="D782" s="8"/>
      <c r="E782" s="8"/>
    </row>
    <row r="783" spans="1:5" x14ac:dyDescent="0.3">
      <c r="A783" s="9"/>
      <c r="B783" s="8"/>
      <c r="C783" s="20"/>
      <c r="D783" s="8"/>
      <c r="E783" s="8"/>
    </row>
    <row r="784" spans="1:5" x14ac:dyDescent="0.3">
      <c r="A784" s="9"/>
      <c r="B784" s="8"/>
      <c r="C784" s="20"/>
      <c r="D784" s="8"/>
      <c r="E784" s="8"/>
    </row>
    <row r="785" spans="1:5" x14ac:dyDescent="0.3">
      <c r="A785" s="9"/>
      <c r="B785" s="8"/>
      <c r="C785" s="20"/>
      <c r="D785" s="8"/>
      <c r="E785" s="8"/>
    </row>
    <row r="786" spans="1:5" x14ac:dyDescent="0.3">
      <c r="A786" s="9"/>
      <c r="B786" s="8"/>
      <c r="C786" s="20"/>
      <c r="D786" s="8"/>
      <c r="E786" s="8"/>
    </row>
    <row r="787" spans="1:5" x14ac:dyDescent="0.3">
      <c r="A787" s="9"/>
      <c r="B787" s="8"/>
      <c r="C787" s="20"/>
      <c r="D787" s="8"/>
      <c r="E787" s="8"/>
    </row>
    <row r="788" spans="1:5" x14ac:dyDescent="0.3">
      <c r="A788" s="9"/>
      <c r="B788" s="8"/>
      <c r="C788" s="20"/>
      <c r="D788" s="8"/>
      <c r="E788" s="8"/>
    </row>
    <row r="789" spans="1:5" x14ac:dyDescent="0.3">
      <c r="A789" s="9"/>
      <c r="B789" s="8"/>
      <c r="C789" s="20"/>
      <c r="D789" s="8"/>
      <c r="E789" s="8"/>
    </row>
    <row r="790" spans="1:5" x14ac:dyDescent="0.3">
      <c r="A790" s="9"/>
      <c r="B790" s="8"/>
      <c r="C790" s="20"/>
      <c r="D790" s="8"/>
      <c r="E790" s="8"/>
    </row>
    <row r="791" spans="1:5" x14ac:dyDescent="0.3">
      <c r="A791" s="9"/>
      <c r="B791" s="8"/>
      <c r="C791" s="20"/>
      <c r="D791" s="8"/>
      <c r="E791" s="8"/>
    </row>
    <row r="792" spans="1:5" x14ac:dyDescent="0.3">
      <c r="A792" s="9"/>
      <c r="B792" s="8"/>
      <c r="C792" s="20"/>
      <c r="D792" s="8"/>
      <c r="E792" s="8"/>
    </row>
    <row r="793" spans="1:5" x14ac:dyDescent="0.3">
      <c r="A793" s="9"/>
      <c r="B793" s="8"/>
      <c r="C793" s="20"/>
      <c r="D793" s="8"/>
      <c r="E793" s="8"/>
    </row>
    <row r="794" spans="1:5" x14ac:dyDescent="0.3">
      <c r="A794" s="9"/>
      <c r="B794" s="8"/>
      <c r="C794" s="20"/>
      <c r="D794" s="8"/>
      <c r="E794" s="8"/>
    </row>
    <row r="795" spans="1:5" x14ac:dyDescent="0.3">
      <c r="A795" s="9"/>
      <c r="B795" s="8"/>
      <c r="C795" s="20"/>
      <c r="D795" s="8"/>
      <c r="E795" s="8"/>
    </row>
    <row r="796" spans="1:5" x14ac:dyDescent="0.3">
      <c r="A796" s="9"/>
      <c r="B796" s="8"/>
      <c r="C796" s="20"/>
      <c r="D796" s="8"/>
      <c r="E796" s="8"/>
    </row>
    <row r="797" spans="1:5" x14ac:dyDescent="0.3">
      <c r="A797" s="9"/>
      <c r="B797" s="8"/>
      <c r="C797" s="20"/>
      <c r="D797" s="8"/>
      <c r="E797" s="8"/>
    </row>
    <row r="798" spans="1:5" x14ac:dyDescent="0.3">
      <c r="A798" s="9"/>
      <c r="B798" s="8"/>
      <c r="C798" s="20"/>
      <c r="D798" s="8"/>
      <c r="E798" s="8"/>
    </row>
    <row r="799" spans="1:5" x14ac:dyDescent="0.3">
      <c r="A799" s="9"/>
      <c r="B799" s="8"/>
      <c r="C799" s="20"/>
      <c r="D799" s="8"/>
      <c r="E799" s="8"/>
    </row>
    <row r="800" spans="1:5" x14ac:dyDescent="0.3">
      <c r="A800" s="9"/>
      <c r="B800" s="8"/>
      <c r="C800" s="20"/>
      <c r="D800" s="8"/>
      <c r="E800" s="8"/>
    </row>
    <row r="801" spans="1:5" x14ac:dyDescent="0.3">
      <c r="A801" s="9"/>
      <c r="B801" s="8"/>
      <c r="C801" s="20"/>
      <c r="D801" s="8"/>
      <c r="E801" s="8"/>
    </row>
    <row r="802" spans="1:5" x14ac:dyDescent="0.3">
      <c r="A802" s="9"/>
      <c r="B802" s="8"/>
      <c r="C802" s="20"/>
      <c r="D802" s="8"/>
      <c r="E802" s="8"/>
    </row>
    <row r="803" spans="1:5" x14ac:dyDescent="0.3">
      <c r="A803" s="9"/>
      <c r="B803" s="8"/>
      <c r="C803" s="20"/>
      <c r="D803" s="8"/>
      <c r="E803" s="8"/>
    </row>
    <row r="804" spans="1:5" x14ac:dyDescent="0.3">
      <c r="A804" s="9"/>
      <c r="B804" s="8"/>
      <c r="C804" s="20"/>
      <c r="D804" s="8"/>
      <c r="E804" s="8"/>
    </row>
    <row r="805" spans="1:5" x14ac:dyDescent="0.3">
      <c r="A805" s="9"/>
      <c r="B805" s="8"/>
      <c r="C805" s="20"/>
      <c r="D805" s="8"/>
      <c r="E805" s="8"/>
    </row>
    <row r="806" spans="1:5" x14ac:dyDescent="0.3">
      <c r="A806" s="9"/>
      <c r="B806" s="8"/>
      <c r="C806" s="20"/>
      <c r="D806" s="8"/>
      <c r="E806" s="8"/>
    </row>
    <row r="807" spans="1:5" x14ac:dyDescent="0.3">
      <c r="A807" s="9"/>
      <c r="B807" s="8"/>
      <c r="C807" s="20"/>
      <c r="D807" s="8"/>
      <c r="E807" s="8"/>
    </row>
    <row r="808" spans="1:5" x14ac:dyDescent="0.3">
      <c r="A808" s="9"/>
      <c r="B808" s="8"/>
      <c r="C808" s="20"/>
      <c r="D808" s="8"/>
      <c r="E808" s="8"/>
    </row>
    <row r="809" spans="1:5" x14ac:dyDescent="0.3">
      <c r="A809" s="9"/>
      <c r="B809" s="8"/>
      <c r="C809" s="20"/>
      <c r="D809" s="8"/>
      <c r="E809" s="8"/>
    </row>
    <row r="810" spans="1:5" x14ac:dyDescent="0.3">
      <c r="A810" s="9"/>
      <c r="B810" s="8"/>
      <c r="C810" s="20"/>
      <c r="D810" s="8"/>
      <c r="E810" s="8"/>
    </row>
    <row r="811" spans="1:5" x14ac:dyDescent="0.3">
      <c r="A811" s="9"/>
      <c r="B811" s="8"/>
      <c r="C811" s="20"/>
      <c r="D811" s="8"/>
      <c r="E811" s="8"/>
    </row>
    <row r="812" spans="1:5" x14ac:dyDescent="0.3">
      <c r="A812" s="9"/>
      <c r="B812" s="8"/>
      <c r="C812" s="20"/>
      <c r="D812" s="8"/>
      <c r="E812" s="8"/>
    </row>
    <row r="813" spans="1:5" x14ac:dyDescent="0.3">
      <c r="A813" s="9"/>
      <c r="B813" s="8"/>
      <c r="C813" s="20"/>
      <c r="D813" s="8"/>
      <c r="E813" s="8"/>
    </row>
    <row r="814" spans="1:5" x14ac:dyDescent="0.3">
      <c r="A814" s="9"/>
      <c r="B814" s="8"/>
      <c r="C814" s="20"/>
      <c r="D814" s="8"/>
      <c r="E814" s="8"/>
    </row>
    <row r="815" spans="1:5" x14ac:dyDescent="0.3">
      <c r="A815" s="9"/>
      <c r="B815" s="8"/>
      <c r="C815" s="20"/>
      <c r="D815" s="8"/>
      <c r="E815" s="8"/>
    </row>
    <row r="816" spans="1:5" x14ac:dyDescent="0.3">
      <c r="A816" s="9"/>
      <c r="B816" s="8"/>
      <c r="C816" s="20"/>
      <c r="D816" s="8"/>
      <c r="E816" s="8"/>
    </row>
    <row r="817" spans="1:5" x14ac:dyDescent="0.3">
      <c r="A817" s="9"/>
      <c r="B817" s="8"/>
      <c r="C817" s="20"/>
      <c r="D817" s="8"/>
      <c r="E817" s="8"/>
    </row>
    <row r="818" spans="1:5" x14ac:dyDescent="0.3">
      <c r="A818" s="9"/>
      <c r="B818" s="8"/>
      <c r="C818" s="20"/>
      <c r="D818" s="8"/>
      <c r="E818" s="8"/>
    </row>
    <row r="819" spans="1:5" x14ac:dyDescent="0.3">
      <c r="A819" s="9"/>
      <c r="B819" s="8"/>
      <c r="C819" s="20"/>
      <c r="D819" s="8"/>
      <c r="E819" s="8"/>
    </row>
    <row r="820" spans="1:5" x14ac:dyDescent="0.3">
      <c r="A820" s="9"/>
      <c r="B820" s="8"/>
      <c r="C820" s="20"/>
      <c r="D820" s="8"/>
      <c r="E820" s="8"/>
    </row>
    <row r="821" spans="1:5" x14ac:dyDescent="0.3">
      <c r="A821" s="9"/>
      <c r="B821" s="8"/>
      <c r="C821" s="20"/>
      <c r="D821" s="8"/>
      <c r="E821" s="8"/>
    </row>
    <row r="822" spans="1:5" x14ac:dyDescent="0.3">
      <c r="A822" s="9"/>
      <c r="B822" s="8"/>
      <c r="C822" s="20"/>
      <c r="D822" s="8"/>
      <c r="E822" s="8"/>
    </row>
    <row r="823" spans="1:5" x14ac:dyDescent="0.3">
      <c r="A823" s="9"/>
      <c r="B823" s="8"/>
      <c r="C823" s="20"/>
      <c r="D823" s="8"/>
      <c r="E823" s="8"/>
    </row>
    <row r="824" spans="1:5" x14ac:dyDescent="0.3">
      <c r="A824" s="9"/>
      <c r="B824" s="8"/>
      <c r="C824" s="20"/>
      <c r="D824" s="8"/>
      <c r="E824" s="8"/>
    </row>
    <row r="825" spans="1:5" x14ac:dyDescent="0.3">
      <c r="A825" s="9"/>
      <c r="B825" s="8"/>
      <c r="C825" s="20"/>
      <c r="D825" s="8"/>
      <c r="E825" s="8"/>
    </row>
    <row r="826" spans="1:5" x14ac:dyDescent="0.3">
      <c r="A826" s="9"/>
      <c r="B826" s="8"/>
      <c r="C826" s="20"/>
      <c r="D826" s="8"/>
      <c r="E826" s="8"/>
    </row>
    <row r="827" spans="1:5" x14ac:dyDescent="0.3">
      <c r="A827" s="9"/>
      <c r="B827" s="8"/>
      <c r="C827" s="20"/>
      <c r="D827" s="8"/>
      <c r="E827" s="8"/>
    </row>
    <row r="828" spans="1:5" x14ac:dyDescent="0.3">
      <c r="A828" s="9"/>
      <c r="B828" s="8"/>
      <c r="C828" s="20"/>
      <c r="D828" s="8"/>
      <c r="E828" s="8"/>
    </row>
    <row r="829" spans="1:5" x14ac:dyDescent="0.3">
      <c r="A829" s="9"/>
      <c r="B829" s="8"/>
      <c r="C829" s="20"/>
      <c r="D829" s="8"/>
      <c r="E829" s="8"/>
    </row>
    <row r="830" spans="1:5" x14ac:dyDescent="0.3">
      <c r="A830" s="9"/>
      <c r="B830" s="8"/>
      <c r="C830" s="20"/>
      <c r="D830" s="8"/>
      <c r="E830" s="8"/>
    </row>
    <row r="831" spans="1:5" x14ac:dyDescent="0.3">
      <c r="A831" s="9"/>
      <c r="B831" s="8"/>
      <c r="C831" s="20"/>
      <c r="D831" s="8"/>
      <c r="E831" s="8"/>
    </row>
    <row r="832" spans="1:5" x14ac:dyDescent="0.3">
      <c r="A832" s="9"/>
      <c r="B832" s="8"/>
      <c r="C832" s="20"/>
      <c r="D832" s="8"/>
      <c r="E832" s="8"/>
    </row>
    <row r="833" spans="1:5" x14ac:dyDescent="0.3">
      <c r="A833" s="9"/>
      <c r="B833" s="8"/>
      <c r="C833" s="20"/>
      <c r="D833" s="8"/>
      <c r="E833" s="8"/>
    </row>
    <row r="834" spans="1:5" x14ac:dyDescent="0.3">
      <c r="A834" s="9"/>
      <c r="B834" s="8"/>
      <c r="C834" s="20"/>
      <c r="D834" s="8"/>
      <c r="E834" s="8"/>
    </row>
    <row r="835" spans="1:5" x14ac:dyDescent="0.3">
      <c r="A835" s="9"/>
      <c r="B835" s="8"/>
      <c r="C835" s="20"/>
      <c r="D835" s="8"/>
      <c r="E835" s="8"/>
    </row>
    <row r="836" spans="1:5" x14ac:dyDescent="0.3">
      <c r="A836" s="9"/>
      <c r="B836" s="8"/>
      <c r="C836" s="20"/>
      <c r="D836" s="8"/>
      <c r="E836" s="8"/>
    </row>
    <row r="837" spans="1:5" x14ac:dyDescent="0.3">
      <c r="A837" s="9"/>
      <c r="B837" s="8"/>
      <c r="C837" s="20"/>
      <c r="D837" s="8"/>
      <c r="E837" s="8"/>
    </row>
    <row r="838" spans="1:5" x14ac:dyDescent="0.3">
      <c r="A838" s="9"/>
      <c r="B838" s="8"/>
      <c r="C838" s="20"/>
      <c r="D838" s="8"/>
      <c r="E838" s="8"/>
    </row>
    <row r="839" spans="1:5" x14ac:dyDescent="0.3">
      <c r="A839" s="9"/>
      <c r="B839" s="8"/>
      <c r="C839" s="20"/>
      <c r="D839" s="8"/>
      <c r="E839" s="8"/>
    </row>
    <row r="840" spans="1:5" x14ac:dyDescent="0.3">
      <c r="A840" s="9"/>
      <c r="B840" s="8"/>
      <c r="C840" s="20"/>
      <c r="D840" s="8"/>
      <c r="E840" s="8"/>
    </row>
    <row r="841" spans="1:5" x14ac:dyDescent="0.3">
      <c r="A841" s="9"/>
      <c r="B841" s="8"/>
      <c r="C841" s="20"/>
      <c r="D841" s="8"/>
      <c r="E841" s="8"/>
    </row>
    <row r="842" spans="1:5" x14ac:dyDescent="0.3">
      <c r="A842" s="9"/>
      <c r="B842" s="8"/>
      <c r="C842" s="20"/>
      <c r="D842" s="8"/>
      <c r="E842" s="8"/>
    </row>
    <row r="843" spans="1:5" x14ac:dyDescent="0.3">
      <c r="A843" s="9"/>
      <c r="B843" s="8"/>
      <c r="C843" s="20"/>
      <c r="D843" s="8"/>
      <c r="E843" s="8"/>
    </row>
    <row r="844" spans="1:5" x14ac:dyDescent="0.3">
      <c r="A844" s="9"/>
      <c r="B844" s="8"/>
      <c r="C844" s="20"/>
      <c r="D844" s="8"/>
      <c r="E844" s="8"/>
    </row>
    <row r="845" spans="1:5" x14ac:dyDescent="0.3">
      <c r="A845" s="9"/>
      <c r="B845" s="8"/>
      <c r="C845" s="20"/>
      <c r="D845" s="8"/>
      <c r="E845" s="8"/>
    </row>
    <row r="846" spans="1:5" x14ac:dyDescent="0.3">
      <c r="A846" s="9"/>
      <c r="B846" s="8"/>
      <c r="C846" s="20"/>
      <c r="D846" s="8"/>
      <c r="E846" s="8"/>
    </row>
    <row r="847" spans="1:5" x14ac:dyDescent="0.3">
      <c r="A847" s="9"/>
      <c r="B847" s="8"/>
      <c r="C847" s="20"/>
      <c r="D847" s="8"/>
      <c r="E847" s="8"/>
    </row>
    <row r="848" spans="1:5" x14ac:dyDescent="0.3">
      <c r="A848" s="9"/>
      <c r="B848" s="8"/>
      <c r="C848" s="20"/>
      <c r="D848" s="8"/>
      <c r="E848" s="8"/>
    </row>
    <row r="849" spans="1:5" x14ac:dyDescent="0.3">
      <c r="A849" s="9"/>
      <c r="B849" s="8"/>
      <c r="C849" s="20"/>
      <c r="D849" s="8"/>
      <c r="E849" s="8"/>
    </row>
    <row r="850" spans="1:5" x14ac:dyDescent="0.3">
      <c r="A850" s="9"/>
      <c r="B850" s="8"/>
      <c r="C850" s="20"/>
      <c r="D850" s="8"/>
      <c r="E850" s="8"/>
    </row>
    <row r="851" spans="1:5" x14ac:dyDescent="0.3">
      <c r="A851" s="9"/>
      <c r="B851" s="8"/>
      <c r="C851" s="20"/>
      <c r="D851" s="8"/>
      <c r="E851" s="8"/>
    </row>
    <row r="852" spans="1:5" x14ac:dyDescent="0.3">
      <c r="A852" s="9"/>
      <c r="B852" s="8"/>
      <c r="C852" s="20"/>
      <c r="D852" s="8"/>
      <c r="E852" s="8"/>
    </row>
    <row r="853" spans="1:5" x14ac:dyDescent="0.3">
      <c r="A853" s="9"/>
      <c r="B853" s="8"/>
      <c r="C853" s="20"/>
      <c r="D853" s="8"/>
      <c r="E853" s="8"/>
    </row>
    <row r="854" spans="1:5" x14ac:dyDescent="0.3">
      <c r="A854" s="9"/>
      <c r="B854" s="8"/>
      <c r="C854" s="20"/>
      <c r="D854" s="8"/>
      <c r="E854" s="8"/>
    </row>
    <row r="855" spans="1:5" x14ac:dyDescent="0.3">
      <c r="A855" s="9"/>
      <c r="B855" s="8"/>
      <c r="C855" s="20"/>
      <c r="D855" s="8"/>
      <c r="E855" s="8"/>
    </row>
    <row r="856" spans="1:5" x14ac:dyDescent="0.3">
      <c r="A856" s="9"/>
      <c r="B856" s="8"/>
      <c r="C856" s="20"/>
      <c r="D856" s="8"/>
      <c r="E856" s="8"/>
    </row>
    <row r="857" spans="1:5" x14ac:dyDescent="0.3">
      <c r="A857" s="9"/>
      <c r="B857" s="8"/>
      <c r="C857" s="20"/>
      <c r="D857" s="8"/>
      <c r="E857" s="8"/>
    </row>
    <row r="858" spans="1:5" x14ac:dyDescent="0.3">
      <c r="A858" s="9"/>
      <c r="B858" s="8"/>
      <c r="C858" s="20"/>
      <c r="D858" s="8"/>
      <c r="E858" s="8"/>
    </row>
    <row r="859" spans="1:5" x14ac:dyDescent="0.3">
      <c r="A859" s="9"/>
      <c r="B859" s="8"/>
      <c r="C859" s="20"/>
      <c r="D859" s="8"/>
      <c r="E859" s="8"/>
    </row>
    <row r="860" spans="1:5" x14ac:dyDescent="0.3">
      <c r="A860" s="9"/>
      <c r="B860" s="8"/>
      <c r="C860" s="20"/>
      <c r="D860" s="8"/>
      <c r="E860" s="8"/>
    </row>
    <row r="861" spans="1:5" x14ac:dyDescent="0.3">
      <c r="A861" s="9"/>
      <c r="B861" s="8"/>
      <c r="C861" s="20"/>
      <c r="D861" s="8"/>
      <c r="E861" s="8"/>
    </row>
    <row r="862" spans="1:5" x14ac:dyDescent="0.3">
      <c r="A862" s="9"/>
      <c r="B862" s="8"/>
      <c r="C862" s="20"/>
      <c r="D862" s="8"/>
      <c r="E862" s="8"/>
    </row>
    <row r="863" spans="1:5" x14ac:dyDescent="0.3">
      <c r="A863" s="9"/>
      <c r="B863" s="8"/>
      <c r="C863" s="20"/>
      <c r="D863" s="8"/>
      <c r="E863" s="8"/>
    </row>
    <row r="864" spans="1:5" x14ac:dyDescent="0.3">
      <c r="A864" s="9"/>
      <c r="B864" s="8"/>
      <c r="C864" s="20"/>
      <c r="D864" s="8"/>
      <c r="E864" s="8"/>
    </row>
    <row r="865" spans="1:5" x14ac:dyDescent="0.3">
      <c r="A865" s="9"/>
      <c r="B865" s="8"/>
      <c r="C865" s="20"/>
      <c r="D865" s="8"/>
      <c r="E865" s="8"/>
    </row>
    <row r="866" spans="1:5" x14ac:dyDescent="0.3">
      <c r="A866" s="9"/>
      <c r="B866" s="8"/>
      <c r="C866" s="20"/>
      <c r="D866" s="8"/>
      <c r="E866" s="8"/>
    </row>
    <row r="867" spans="1:5" x14ac:dyDescent="0.3">
      <c r="A867" s="9"/>
      <c r="B867" s="8"/>
      <c r="C867" s="20"/>
      <c r="D867" s="8"/>
      <c r="E867" s="8"/>
    </row>
    <row r="868" spans="1:5" x14ac:dyDescent="0.3">
      <c r="A868" s="9"/>
      <c r="B868" s="8"/>
      <c r="C868" s="20"/>
      <c r="D868" s="8"/>
      <c r="E868" s="8"/>
    </row>
    <row r="869" spans="1:5" x14ac:dyDescent="0.3">
      <c r="A869" s="9"/>
      <c r="B869" s="8"/>
      <c r="C869" s="20"/>
      <c r="D869" s="8"/>
      <c r="E869" s="8"/>
    </row>
    <row r="870" spans="1:5" x14ac:dyDescent="0.3">
      <c r="A870" s="9"/>
      <c r="B870" s="8"/>
      <c r="C870" s="20"/>
      <c r="D870" s="8"/>
      <c r="E870" s="8"/>
    </row>
    <row r="871" spans="1:5" x14ac:dyDescent="0.3">
      <c r="A871" s="9"/>
      <c r="B871" s="8"/>
      <c r="C871" s="20"/>
      <c r="D871" s="8"/>
      <c r="E871" s="8"/>
    </row>
    <row r="872" spans="1:5" x14ac:dyDescent="0.3">
      <c r="A872" s="9"/>
      <c r="B872" s="8"/>
      <c r="C872" s="20"/>
      <c r="D872" s="8"/>
      <c r="E872" s="8"/>
    </row>
    <row r="873" spans="1:5" x14ac:dyDescent="0.3">
      <c r="A873" s="9"/>
      <c r="B873" s="8"/>
      <c r="C873" s="20"/>
      <c r="D873" s="8"/>
      <c r="E873" s="8"/>
    </row>
    <row r="874" spans="1:5" x14ac:dyDescent="0.3">
      <c r="A874" s="9"/>
      <c r="B874" s="8"/>
      <c r="C874" s="20"/>
      <c r="D874" s="8"/>
      <c r="E874" s="8"/>
    </row>
    <row r="875" spans="1:5" x14ac:dyDescent="0.3">
      <c r="A875" s="9"/>
      <c r="B875" s="8"/>
      <c r="C875" s="20"/>
      <c r="D875" s="8"/>
      <c r="E875" s="8"/>
    </row>
    <row r="876" spans="1:5" x14ac:dyDescent="0.3">
      <c r="A876" s="9"/>
      <c r="B876" s="8"/>
      <c r="C876" s="20"/>
      <c r="D876" s="8"/>
      <c r="E876" s="8"/>
    </row>
    <row r="877" spans="1:5" x14ac:dyDescent="0.3">
      <c r="A877" s="9"/>
      <c r="B877" s="8"/>
      <c r="C877" s="20"/>
      <c r="D877" s="8"/>
      <c r="E877" s="8"/>
    </row>
    <row r="878" spans="1:5" x14ac:dyDescent="0.3">
      <c r="A878" s="9"/>
      <c r="B878" s="8"/>
      <c r="C878" s="20"/>
      <c r="D878" s="8"/>
      <c r="E878" s="8"/>
    </row>
    <row r="879" spans="1:5" x14ac:dyDescent="0.3">
      <c r="A879" s="9"/>
      <c r="B879" s="8"/>
      <c r="C879" s="20"/>
      <c r="D879" s="8"/>
      <c r="E879" s="8"/>
    </row>
    <row r="880" spans="1:5" x14ac:dyDescent="0.3">
      <c r="A880" s="9"/>
      <c r="B880" s="8"/>
      <c r="C880" s="20"/>
      <c r="D880" s="8"/>
      <c r="E880" s="8"/>
    </row>
    <row r="881" spans="1:5" x14ac:dyDescent="0.3">
      <c r="A881" s="9"/>
      <c r="B881" s="8"/>
      <c r="C881" s="20"/>
      <c r="D881" s="8"/>
      <c r="E881" s="8"/>
    </row>
    <row r="882" spans="1:5" x14ac:dyDescent="0.3">
      <c r="A882" s="9"/>
      <c r="B882" s="8"/>
      <c r="C882" s="20"/>
      <c r="D882" s="8"/>
      <c r="E882" s="8"/>
    </row>
    <row r="883" spans="1:5" x14ac:dyDescent="0.3">
      <c r="A883" s="9"/>
      <c r="B883" s="8"/>
      <c r="C883" s="20"/>
      <c r="D883" s="8"/>
      <c r="E883" s="8"/>
    </row>
    <row r="884" spans="1:5" x14ac:dyDescent="0.3">
      <c r="A884" s="9"/>
      <c r="B884" s="8"/>
      <c r="C884" s="20"/>
      <c r="D884" s="8"/>
      <c r="E884" s="8"/>
    </row>
    <row r="885" spans="1:5" x14ac:dyDescent="0.3">
      <c r="A885" s="9"/>
      <c r="B885" s="8"/>
      <c r="C885" s="20"/>
      <c r="D885" s="8"/>
      <c r="E885" s="8"/>
    </row>
    <row r="886" spans="1:5" x14ac:dyDescent="0.3">
      <c r="A886" s="9"/>
      <c r="B886" s="8"/>
      <c r="C886" s="20"/>
      <c r="D886" s="8"/>
      <c r="E886" s="8"/>
    </row>
    <row r="887" spans="1:5" x14ac:dyDescent="0.3">
      <c r="A887" s="9"/>
      <c r="B887" s="8"/>
      <c r="C887" s="20"/>
      <c r="D887" s="8"/>
      <c r="E887" s="8"/>
    </row>
    <row r="888" spans="1:5" x14ac:dyDescent="0.3">
      <c r="A888" s="9"/>
      <c r="B888" s="8"/>
      <c r="C888" s="20"/>
      <c r="D888" s="8"/>
      <c r="E888" s="8"/>
    </row>
    <row r="889" spans="1:5" x14ac:dyDescent="0.3">
      <c r="A889" s="9"/>
      <c r="B889" s="8"/>
      <c r="C889" s="20"/>
      <c r="D889" s="8"/>
      <c r="E889" s="8"/>
    </row>
    <row r="890" spans="1:5" x14ac:dyDescent="0.3">
      <c r="A890" s="9"/>
      <c r="B890" s="8"/>
      <c r="C890" s="20"/>
      <c r="D890" s="8"/>
      <c r="E890" s="8"/>
    </row>
    <row r="891" spans="1:5" x14ac:dyDescent="0.3">
      <c r="A891" s="9"/>
      <c r="B891" s="8"/>
      <c r="C891" s="20"/>
      <c r="D891" s="8"/>
      <c r="E891" s="8"/>
    </row>
    <row r="892" spans="1:5" x14ac:dyDescent="0.3">
      <c r="A892" s="9"/>
      <c r="B892" s="8"/>
      <c r="C892" s="20"/>
      <c r="D892" s="8"/>
      <c r="E892" s="8"/>
    </row>
    <row r="893" spans="1:5" x14ac:dyDescent="0.3">
      <c r="A893" s="9"/>
      <c r="B893" s="8"/>
      <c r="C893" s="20"/>
      <c r="D893" s="8"/>
      <c r="E893" s="8"/>
    </row>
    <row r="894" spans="1:5" x14ac:dyDescent="0.3">
      <c r="A894" s="9"/>
      <c r="B894" s="8"/>
      <c r="C894" s="20"/>
      <c r="D894" s="8"/>
      <c r="E894" s="8"/>
    </row>
    <row r="895" spans="1:5" x14ac:dyDescent="0.3">
      <c r="A895" s="9"/>
      <c r="B895" s="8"/>
      <c r="C895" s="20"/>
      <c r="D895" s="8"/>
      <c r="E895" s="8"/>
    </row>
    <row r="896" spans="1:5" x14ac:dyDescent="0.3">
      <c r="A896" s="9"/>
      <c r="B896" s="8"/>
      <c r="C896" s="20"/>
      <c r="D896" s="8"/>
      <c r="E896" s="8"/>
    </row>
    <row r="897" spans="1:5" x14ac:dyDescent="0.3">
      <c r="A897" s="9"/>
      <c r="B897" s="8"/>
      <c r="C897" s="20"/>
      <c r="D897" s="8"/>
      <c r="E897" s="8"/>
    </row>
    <row r="898" spans="1:5" x14ac:dyDescent="0.3">
      <c r="A898" s="9"/>
      <c r="B898" s="8"/>
      <c r="C898" s="20"/>
      <c r="D898" s="8"/>
      <c r="E898" s="8"/>
    </row>
    <row r="899" spans="1:5" x14ac:dyDescent="0.3">
      <c r="A899" s="9"/>
      <c r="B899" s="8"/>
      <c r="C899" s="20"/>
      <c r="D899" s="8"/>
      <c r="E899" s="8"/>
    </row>
    <row r="900" spans="1:5" x14ac:dyDescent="0.3">
      <c r="A900" s="9"/>
      <c r="B900" s="8"/>
      <c r="C900" s="20"/>
      <c r="D900" s="8"/>
      <c r="E900" s="8"/>
    </row>
    <row r="901" spans="1:5" x14ac:dyDescent="0.3">
      <c r="A901" s="9"/>
      <c r="B901" s="8"/>
      <c r="C901" s="20"/>
      <c r="D901" s="8"/>
      <c r="E901" s="8"/>
    </row>
    <row r="902" spans="1:5" x14ac:dyDescent="0.3">
      <c r="A902" s="9"/>
      <c r="B902" s="8"/>
      <c r="C902" s="20"/>
      <c r="D902" s="8"/>
      <c r="E902" s="8"/>
    </row>
    <row r="903" spans="1:5" x14ac:dyDescent="0.3">
      <c r="A903" s="9"/>
      <c r="B903" s="8"/>
      <c r="C903" s="20"/>
      <c r="D903" s="8"/>
      <c r="E903" s="8"/>
    </row>
    <row r="904" spans="1:5" x14ac:dyDescent="0.3">
      <c r="A904" s="9"/>
      <c r="B904" s="8"/>
      <c r="C904" s="20"/>
      <c r="D904" s="8"/>
      <c r="E904" s="8"/>
    </row>
    <row r="905" spans="1:5" x14ac:dyDescent="0.3">
      <c r="A905" s="9"/>
      <c r="B905" s="8"/>
      <c r="C905" s="20"/>
      <c r="D905" s="8"/>
      <c r="E905" s="8"/>
    </row>
    <row r="906" spans="1:5" x14ac:dyDescent="0.3">
      <c r="A906" s="9"/>
      <c r="B906" s="8"/>
      <c r="C906" s="20"/>
      <c r="D906" s="8"/>
      <c r="E906" s="8"/>
    </row>
    <row r="907" spans="1:5" x14ac:dyDescent="0.3">
      <c r="A907" s="9"/>
      <c r="B907" s="8"/>
      <c r="C907" s="20"/>
      <c r="D907" s="8"/>
      <c r="E907" s="8"/>
    </row>
    <row r="908" spans="1:5" x14ac:dyDescent="0.3">
      <c r="A908" s="9"/>
      <c r="B908" s="8"/>
      <c r="C908" s="20"/>
      <c r="D908" s="8"/>
      <c r="E908" s="8"/>
    </row>
    <row r="909" spans="1:5" x14ac:dyDescent="0.3">
      <c r="A909" s="9"/>
      <c r="B909" s="8"/>
      <c r="C909" s="20"/>
      <c r="D909" s="8"/>
      <c r="E909" s="8"/>
    </row>
    <row r="910" spans="1:5" x14ac:dyDescent="0.3">
      <c r="A910" s="9"/>
      <c r="B910" s="8"/>
      <c r="C910" s="20"/>
      <c r="D910" s="8"/>
      <c r="E910" s="8"/>
    </row>
    <row r="911" spans="1:5" x14ac:dyDescent="0.3">
      <c r="A911" s="9"/>
      <c r="B911" s="8"/>
      <c r="C911" s="20"/>
      <c r="D911" s="8"/>
      <c r="E911" s="8"/>
    </row>
    <row r="912" spans="1:5" x14ac:dyDescent="0.3">
      <c r="A912" s="9"/>
      <c r="B912" s="8"/>
      <c r="C912" s="20"/>
      <c r="D912" s="8"/>
      <c r="E912" s="8"/>
    </row>
    <row r="913" spans="1:5" x14ac:dyDescent="0.3">
      <c r="A913" s="9"/>
      <c r="B913" s="8"/>
      <c r="C913" s="20"/>
      <c r="D913" s="8"/>
      <c r="E913" s="8"/>
    </row>
    <row r="914" spans="1:5" x14ac:dyDescent="0.3">
      <c r="A914" s="9"/>
      <c r="B914" s="8"/>
      <c r="C914" s="20"/>
      <c r="D914" s="8"/>
      <c r="E914" s="8"/>
    </row>
    <row r="915" spans="1:5" x14ac:dyDescent="0.3">
      <c r="A915" s="9"/>
      <c r="B915" s="8"/>
      <c r="C915" s="20"/>
      <c r="D915" s="8"/>
      <c r="E915" s="8"/>
    </row>
    <row r="916" spans="1:5" x14ac:dyDescent="0.3">
      <c r="A916" s="9"/>
      <c r="B916" s="8"/>
      <c r="C916" s="20"/>
      <c r="D916" s="8"/>
      <c r="E916" s="8"/>
    </row>
    <row r="917" spans="1:5" x14ac:dyDescent="0.3">
      <c r="A917" s="9"/>
      <c r="B917" s="8"/>
      <c r="C917" s="20"/>
      <c r="D917" s="8"/>
      <c r="E917" s="8"/>
    </row>
    <row r="918" spans="1:5" x14ac:dyDescent="0.3">
      <c r="A918" s="9"/>
      <c r="B918" s="8"/>
      <c r="C918" s="20"/>
      <c r="D918" s="8"/>
      <c r="E918" s="8"/>
    </row>
    <row r="919" spans="1:5" x14ac:dyDescent="0.3">
      <c r="A919" s="9"/>
      <c r="B919" s="8"/>
      <c r="C919" s="20"/>
      <c r="D919" s="8"/>
      <c r="E919" s="8"/>
    </row>
    <row r="920" spans="1:5" x14ac:dyDescent="0.3">
      <c r="A920" s="9"/>
      <c r="B920" s="8"/>
      <c r="C920" s="20"/>
      <c r="D920" s="8"/>
      <c r="E920" s="8"/>
    </row>
    <row r="921" spans="1:5" x14ac:dyDescent="0.3">
      <c r="A921" s="9"/>
      <c r="B921" s="8"/>
      <c r="C921" s="20"/>
      <c r="D921" s="8"/>
      <c r="E921" s="8"/>
    </row>
    <row r="922" spans="1:5" x14ac:dyDescent="0.3">
      <c r="A922" s="9"/>
      <c r="B922" s="8"/>
      <c r="C922" s="20"/>
      <c r="D922" s="8"/>
      <c r="E922" s="8"/>
    </row>
    <row r="923" spans="1:5" x14ac:dyDescent="0.3">
      <c r="A923" s="9"/>
      <c r="B923" s="8"/>
      <c r="C923" s="20"/>
      <c r="D923" s="8"/>
      <c r="E923" s="8"/>
    </row>
    <row r="924" spans="1:5" x14ac:dyDescent="0.3">
      <c r="A924" s="9"/>
      <c r="B924" s="8"/>
      <c r="C924" s="20"/>
      <c r="D924" s="8"/>
      <c r="E924" s="8"/>
    </row>
    <row r="925" spans="1:5" x14ac:dyDescent="0.3">
      <c r="A925" s="9"/>
      <c r="B925" s="8"/>
      <c r="C925" s="20"/>
      <c r="D925" s="8"/>
      <c r="E925" s="8"/>
    </row>
    <row r="926" spans="1:5" x14ac:dyDescent="0.3">
      <c r="A926" s="9"/>
      <c r="B926" s="8"/>
      <c r="C926" s="20"/>
      <c r="D926" s="8"/>
      <c r="E926" s="8"/>
    </row>
    <row r="927" spans="1:5" x14ac:dyDescent="0.3">
      <c r="A927" s="9"/>
      <c r="B927" s="8"/>
      <c r="C927" s="20"/>
      <c r="D927" s="8"/>
      <c r="E927" s="8"/>
    </row>
    <row r="928" spans="1:5" x14ac:dyDescent="0.3">
      <c r="A928" s="9"/>
      <c r="B928" s="8"/>
      <c r="C928" s="20"/>
      <c r="D928" s="8"/>
      <c r="E928" s="8"/>
    </row>
    <row r="929" spans="1:5" x14ac:dyDescent="0.3">
      <c r="A929" s="9"/>
      <c r="B929" s="8"/>
      <c r="C929" s="20"/>
      <c r="D929" s="8"/>
      <c r="E929" s="8"/>
    </row>
    <row r="930" spans="1:5" x14ac:dyDescent="0.3">
      <c r="A930" s="9"/>
      <c r="B930" s="8"/>
      <c r="C930" s="20"/>
      <c r="D930" s="8"/>
      <c r="E930" s="8"/>
    </row>
    <row r="931" spans="1:5" x14ac:dyDescent="0.3">
      <c r="A931" s="9"/>
      <c r="B931" s="8"/>
      <c r="C931" s="20"/>
      <c r="D931" s="8"/>
      <c r="E931" s="8"/>
    </row>
    <row r="932" spans="1:5" x14ac:dyDescent="0.3">
      <c r="A932" s="9"/>
      <c r="B932" s="8"/>
      <c r="C932" s="20"/>
      <c r="D932" s="8"/>
      <c r="E932" s="8"/>
    </row>
    <row r="933" spans="1:5" x14ac:dyDescent="0.3">
      <c r="A933" s="9"/>
      <c r="B933" s="8"/>
      <c r="C933" s="20"/>
      <c r="D933" s="8"/>
      <c r="E933" s="8"/>
    </row>
    <row r="934" spans="1:5" x14ac:dyDescent="0.3">
      <c r="A934" s="9"/>
      <c r="B934" s="8"/>
      <c r="C934" s="20"/>
      <c r="D934" s="8"/>
      <c r="E934" s="8"/>
    </row>
    <row r="935" spans="1:5" x14ac:dyDescent="0.3">
      <c r="A935" s="9"/>
      <c r="B935" s="8"/>
      <c r="C935" s="20"/>
      <c r="D935" s="8"/>
      <c r="E935" s="8"/>
    </row>
    <row r="936" spans="1:5" x14ac:dyDescent="0.3">
      <c r="A936" s="9"/>
      <c r="B936" s="8"/>
      <c r="C936" s="20"/>
      <c r="D936" s="8"/>
      <c r="E936" s="8"/>
    </row>
    <row r="937" spans="1:5" x14ac:dyDescent="0.3">
      <c r="A937" s="9"/>
      <c r="B937" s="8"/>
      <c r="C937" s="20"/>
      <c r="D937" s="8"/>
      <c r="E937" s="8"/>
    </row>
    <row r="938" spans="1:5" x14ac:dyDescent="0.3">
      <c r="A938" s="9"/>
      <c r="B938" s="8"/>
      <c r="C938" s="20"/>
      <c r="D938" s="8"/>
      <c r="E938" s="8"/>
    </row>
    <row r="939" spans="1:5" x14ac:dyDescent="0.3">
      <c r="A939" s="9"/>
      <c r="B939" s="8"/>
      <c r="C939" s="20"/>
      <c r="D939" s="8"/>
      <c r="E939" s="8"/>
    </row>
    <row r="940" spans="1:5" x14ac:dyDescent="0.3">
      <c r="A940" s="9"/>
      <c r="B940" s="8"/>
      <c r="C940" s="20"/>
      <c r="D940" s="8"/>
      <c r="E940" s="8"/>
    </row>
    <row r="941" spans="1:5" x14ac:dyDescent="0.3">
      <c r="A941" s="9"/>
      <c r="B941" s="8"/>
      <c r="C941" s="20"/>
      <c r="D941" s="8"/>
      <c r="E941" s="8"/>
    </row>
    <row r="942" spans="1:5" x14ac:dyDescent="0.3">
      <c r="A942" s="9"/>
      <c r="B942" s="8"/>
      <c r="C942" s="20"/>
      <c r="D942" s="8"/>
      <c r="E942" s="8"/>
    </row>
    <row r="943" spans="1:5" x14ac:dyDescent="0.3">
      <c r="A943" s="9"/>
      <c r="B943" s="8"/>
      <c r="C943" s="20"/>
      <c r="D943" s="8"/>
      <c r="E943" s="8"/>
    </row>
    <row r="944" spans="1:5" x14ac:dyDescent="0.3">
      <c r="A944" s="9"/>
      <c r="B944" s="8"/>
      <c r="C944" s="20"/>
      <c r="D944" s="8"/>
      <c r="E944" s="8"/>
    </row>
    <row r="945" spans="1:5" x14ac:dyDescent="0.3">
      <c r="A945" s="9"/>
      <c r="B945" s="8"/>
      <c r="C945" s="20"/>
      <c r="D945" s="8"/>
      <c r="E945" s="8"/>
    </row>
    <row r="946" spans="1:5" x14ac:dyDescent="0.3">
      <c r="A946" s="9"/>
      <c r="B946" s="8"/>
      <c r="C946" s="20"/>
      <c r="D946" s="8"/>
      <c r="E946" s="8"/>
    </row>
    <row r="947" spans="1:5" x14ac:dyDescent="0.3">
      <c r="A947" s="9"/>
      <c r="B947" s="8"/>
      <c r="C947" s="20"/>
      <c r="D947" s="8"/>
      <c r="E947" s="8"/>
    </row>
    <row r="948" spans="1:5" x14ac:dyDescent="0.3">
      <c r="A948" s="9"/>
      <c r="B948" s="8"/>
      <c r="C948" s="20"/>
      <c r="D948" s="8"/>
      <c r="E948" s="8"/>
    </row>
    <row r="949" spans="1:5" x14ac:dyDescent="0.3">
      <c r="A949" s="9"/>
      <c r="B949" s="8"/>
      <c r="C949" s="20"/>
      <c r="D949" s="8"/>
      <c r="E949" s="8"/>
    </row>
    <row r="950" spans="1:5" x14ac:dyDescent="0.3">
      <c r="A950" s="9"/>
      <c r="B950" s="8"/>
      <c r="C950" s="20"/>
      <c r="D950" s="8"/>
      <c r="E950" s="8"/>
    </row>
    <row r="951" spans="1:5" x14ac:dyDescent="0.3">
      <c r="A951" s="9"/>
      <c r="B951" s="8"/>
      <c r="C951" s="20"/>
      <c r="D951" s="8"/>
      <c r="E951" s="8"/>
    </row>
    <row r="952" spans="1:5" x14ac:dyDescent="0.3">
      <c r="A952" s="9"/>
      <c r="B952" s="8"/>
      <c r="C952" s="20"/>
      <c r="D952" s="8"/>
      <c r="E952" s="8"/>
    </row>
    <row r="953" spans="1:5" x14ac:dyDescent="0.3">
      <c r="A953" s="9"/>
      <c r="B953" s="8"/>
      <c r="C953" s="20"/>
      <c r="D953" s="8"/>
      <c r="E953" s="8"/>
    </row>
    <row r="954" spans="1:5" x14ac:dyDescent="0.3">
      <c r="A954" s="9"/>
      <c r="B954" s="8"/>
      <c r="C954" s="20"/>
      <c r="D954" s="8"/>
      <c r="E954" s="8"/>
    </row>
    <row r="955" spans="1:5" x14ac:dyDescent="0.3">
      <c r="A955" s="9"/>
      <c r="B955" s="8"/>
      <c r="C955" s="20"/>
      <c r="D955" s="8"/>
      <c r="E955" s="8"/>
    </row>
    <row r="956" spans="1:5" x14ac:dyDescent="0.3">
      <c r="A956" s="9"/>
      <c r="B956" s="8"/>
      <c r="C956" s="20"/>
      <c r="D956" s="8"/>
      <c r="E956" s="8"/>
    </row>
    <row r="957" spans="1:5" x14ac:dyDescent="0.3">
      <c r="A957" s="9"/>
      <c r="B957" s="8"/>
      <c r="C957" s="20"/>
      <c r="D957" s="8"/>
      <c r="E957" s="8"/>
    </row>
    <row r="958" spans="1:5" x14ac:dyDescent="0.3">
      <c r="A958" s="9"/>
      <c r="B958" s="8"/>
      <c r="C958" s="20"/>
      <c r="D958" s="8"/>
      <c r="E958" s="8"/>
    </row>
    <row r="959" spans="1:5" x14ac:dyDescent="0.3">
      <c r="A959" s="9"/>
      <c r="B959" s="8"/>
      <c r="C959" s="20"/>
      <c r="D959" s="8"/>
      <c r="E959" s="8"/>
    </row>
    <row r="960" spans="1:5" x14ac:dyDescent="0.3">
      <c r="A960" s="9"/>
      <c r="B960" s="8"/>
      <c r="C960" s="20"/>
      <c r="D960" s="8"/>
      <c r="E960" s="8"/>
    </row>
    <row r="961" spans="1:5" x14ac:dyDescent="0.3">
      <c r="A961" s="9"/>
      <c r="B961" s="8"/>
      <c r="C961" s="20"/>
      <c r="D961" s="8"/>
      <c r="E961" s="8"/>
    </row>
    <row r="962" spans="1:5" x14ac:dyDescent="0.3">
      <c r="A962" s="9"/>
      <c r="B962" s="8"/>
      <c r="C962" s="20"/>
      <c r="D962" s="8"/>
      <c r="E962" s="8"/>
    </row>
    <row r="963" spans="1:5" x14ac:dyDescent="0.3">
      <c r="A963" s="9"/>
      <c r="B963" s="8"/>
      <c r="C963" s="20"/>
      <c r="D963" s="8"/>
      <c r="E963" s="8"/>
    </row>
    <row r="964" spans="1:5" x14ac:dyDescent="0.3">
      <c r="A964" s="9"/>
      <c r="B964" s="8"/>
      <c r="C964" s="20"/>
      <c r="D964" s="8"/>
      <c r="E964" s="8"/>
    </row>
    <row r="965" spans="1:5" x14ac:dyDescent="0.3">
      <c r="A965" s="9"/>
      <c r="B965" s="8"/>
      <c r="C965" s="20"/>
      <c r="D965" s="8"/>
      <c r="E965" s="8"/>
    </row>
    <row r="966" spans="1:5" x14ac:dyDescent="0.3">
      <c r="A966" s="9"/>
      <c r="B966" s="8"/>
      <c r="C966" s="20"/>
      <c r="D966" s="8"/>
      <c r="E966" s="8"/>
    </row>
    <row r="967" spans="1:5" x14ac:dyDescent="0.3">
      <c r="A967" s="9"/>
      <c r="B967" s="8"/>
      <c r="C967" s="20"/>
      <c r="D967" s="8"/>
      <c r="E967" s="8"/>
    </row>
    <row r="968" spans="1:5" x14ac:dyDescent="0.3">
      <c r="A968" s="9"/>
      <c r="B968" s="8"/>
      <c r="C968" s="20"/>
      <c r="D968" s="8"/>
      <c r="E968" s="8"/>
    </row>
    <row r="969" spans="1:5" x14ac:dyDescent="0.3">
      <c r="A969" s="9"/>
      <c r="B969" s="8"/>
      <c r="C969" s="20"/>
      <c r="D969" s="8"/>
      <c r="E969" s="8"/>
    </row>
    <row r="970" spans="1:5" x14ac:dyDescent="0.3">
      <c r="A970" s="9"/>
      <c r="B970" s="8"/>
      <c r="C970" s="20"/>
      <c r="D970" s="8"/>
      <c r="E970" s="8"/>
    </row>
    <row r="971" spans="1:5" x14ac:dyDescent="0.3">
      <c r="A971" s="9"/>
      <c r="B971" s="8"/>
      <c r="C971" s="20"/>
      <c r="D971" s="8"/>
      <c r="E971" s="8"/>
    </row>
    <row r="972" spans="1:5" x14ac:dyDescent="0.3">
      <c r="A972" s="9"/>
      <c r="B972" s="8"/>
      <c r="C972" s="20"/>
      <c r="D972" s="8"/>
      <c r="E972" s="8"/>
    </row>
    <row r="973" spans="1:5" x14ac:dyDescent="0.3">
      <c r="A973" s="9"/>
      <c r="B973" s="8"/>
      <c r="C973" s="20"/>
      <c r="D973" s="8"/>
      <c r="E973" s="8"/>
    </row>
    <row r="974" spans="1:5" x14ac:dyDescent="0.3">
      <c r="A974" s="9"/>
      <c r="B974" s="8"/>
      <c r="C974" s="20"/>
      <c r="D974" s="8"/>
      <c r="E974" s="8"/>
    </row>
    <row r="975" spans="1:5" x14ac:dyDescent="0.3">
      <c r="A975" s="9"/>
      <c r="B975" s="8"/>
      <c r="C975" s="20"/>
      <c r="D975" s="8"/>
      <c r="E975" s="8"/>
    </row>
    <row r="976" spans="1:5" x14ac:dyDescent="0.3">
      <c r="A976" s="9"/>
      <c r="B976" s="8"/>
      <c r="C976" s="20"/>
      <c r="D976" s="8"/>
      <c r="E976" s="8"/>
    </row>
    <row r="977" spans="1:5" x14ac:dyDescent="0.3">
      <c r="A977" s="9"/>
      <c r="B977" s="8"/>
      <c r="C977" s="20"/>
      <c r="D977" s="8"/>
      <c r="E977" s="8"/>
    </row>
    <row r="978" spans="1:5" x14ac:dyDescent="0.3">
      <c r="A978" s="9"/>
      <c r="B978" s="8"/>
      <c r="C978" s="20"/>
      <c r="D978" s="8"/>
      <c r="E978" s="8"/>
    </row>
    <row r="979" spans="1:5" x14ac:dyDescent="0.3">
      <c r="A979" s="9"/>
      <c r="B979" s="8"/>
      <c r="C979" s="20"/>
      <c r="D979" s="8"/>
      <c r="E979" s="8"/>
    </row>
    <row r="980" spans="1:5" x14ac:dyDescent="0.3">
      <c r="A980" s="9"/>
      <c r="B980" s="8"/>
      <c r="C980" s="20"/>
      <c r="D980" s="8"/>
      <c r="E980" s="8"/>
    </row>
    <row r="981" spans="1:5" x14ac:dyDescent="0.3">
      <c r="A981" s="9"/>
      <c r="B981" s="8"/>
      <c r="C981" s="20"/>
      <c r="D981" s="8"/>
      <c r="E981" s="8"/>
    </row>
    <row r="982" spans="1:5" x14ac:dyDescent="0.3">
      <c r="A982" s="9"/>
      <c r="B982" s="8"/>
      <c r="C982" s="20"/>
      <c r="D982" s="8"/>
      <c r="E982" s="8"/>
    </row>
    <row r="983" spans="1:5" x14ac:dyDescent="0.3">
      <c r="A983" s="9"/>
      <c r="B983" s="8"/>
      <c r="C983" s="20"/>
      <c r="D983" s="8"/>
      <c r="E983" s="8"/>
    </row>
    <row r="984" spans="1:5" x14ac:dyDescent="0.3">
      <c r="A984" s="9"/>
      <c r="B984" s="8"/>
      <c r="C984" s="20"/>
      <c r="D984" s="8"/>
      <c r="E984" s="8"/>
    </row>
    <row r="985" spans="1:5" x14ac:dyDescent="0.3">
      <c r="A985" s="9"/>
      <c r="B985" s="8"/>
      <c r="C985" s="20"/>
      <c r="D985" s="8"/>
      <c r="E985" s="8"/>
    </row>
    <row r="986" spans="1:5" x14ac:dyDescent="0.3">
      <c r="A986" s="9"/>
      <c r="B986" s="8"/>
      <c r="C986" s="20"/>
      <c r="D986" s="8"/>
      <c r="E986" s="8"/>
    </row>
    <row r="987" spans="1:5" x14ac:dyDescent="0.3">
      <c r="A987" s="9"/>
      <c r="B987" s="8"/>
      <c r="C987" s="20"/>
      <c r="D987" s="8"/>
      <c r="E987" s="8"/>
    </row>
    <row r="988" spans="1:5" x14ac:dyDescent="0.3">
      <c r="A988" s="9"/>
      <c r="B988" s="8"/>
      <c r="C988" s="20"/>
      <c r="D988" s="8"/>
      <c r="E988" s="8"/>
    </row>
    <row r="989" spans="1:5" x14ac:dyDescent="0.3">
      <c r="A989" s="9"/>
      <c r="B989" s="8"/>
      <c r="C989" s="20"/>
      <c r="D989" s="8"/>
      <c r="E989" s="8"/>
    </row>
    <row r="990" spans="1:5" x14ac:dyDescent="0.3">
      <c r="A990" s="9"/>
      <c r="B990" s="8"/>
      <c r="C990" s="20"/>
      <c r="D990" s="8"/>
      <c r="E990" s="8"/>
    </row>
    <row r="991" spans="1:5" x14ac:dyDescent="0.3">
      <c r="A991" s="9"/>
      <c r="B991" s="8"/>
      <c r="C991" s="20"/>
      <c r="D991" s="8"/>
      <c r="E991" s="8"/>
    </row>
    <row r="992" spans="1:5" x14ac:dyDescent="0.3">
      <c r="A992" s="9"/>
      <c r="B992" s="8"/>
      <c r="C992" s="20"/>
      <c r="D992" s="8"/>
      <c r="E992" s="8"/>
    </row>
    <row r="993" spans="1:5" x14ac:dyDescent="0.3">
      <c r="A993" s="9"/>
      <c r="B993" s="8"/>
      <c r="C993" s="20"/>
      <c r="D993" s="8"/>
      <c r="E993" s="8"/>
    </row>
    <row r="994" spans="1:5" x14ac:dyDescent="0.3">
      <c r="A994" s="9"/>
      <c r="B994" s="8"/>
      <c r="C994" s="20"/>
      <c r="D994" s="8"/>
      <c r="E994" s="8"/>
    </row>
    <row r="995" spans="1:5" x14ac:dyDescent="0.3">
      <c r="A995" s="9"/>
      <c r="B995" s="8"/>
      <c r="C995" s="20"/>
      <c r="D995" s="8"/>
      <c r="E995" s="8"/>
    </row>
    <row r="996" spans="1:5" x14ac:dyDescent="0.3">
      <c r="A996" s="9"/>
      <c r="B996" s="8"/>
      <c r="C996" s="20"/>
      <c r="D996" s="8"/>
      <c r="E996" s="8"/>
    </row>
    <row r="997" spans="1:5" x14ac:dyDescent="0.3">
      <c r="A997" s="9"/>
      <c r="B997" s="8"/>
      <c r="C997" s="20"/>
      <c r="D997" s="8"/>
      <c r="E997" s="8"/>
    </row>
    <row r="998" spans="1:5" x14ac:dyDescent="0.3">
      <c r="A998" s="9"/>
      <c r="B998" s="8"/>
      <c r="C998" s="20"/>
      <c r="D998" s="8"/>
      <c r="E998" s="8"/>
    </row>
    <row r="999" spans="1:5" x14ac:dyDescent="0.3">
      <c r="A999" s="9"/>
      <c r="B999" s="8"/>
      <c r="C999" s="20"/>
      <c r="D999" s="8"/>
      <c r="E999" s="8"/>
    </row>
    <row r="1000" spans="1:5" x14ac:dyDescent="0.3">
      <c r="A1000" s="9"/>
      <c r="B1000" s="8"/>
      <c r="C1000" s="20"/>
      <c r="D1000" s="8"/>
      <c r="E1000" s="8"/>
    </row>
    <row r="1001" spans="1:5" x14ac:dyDescent="0.3">
      <c r="A1001" s="9"/>
      <c r="B1001" s="8"/>
      <c r="C1001" s="20"/>
      <c r="D1001" s="8"/>
      <c r="E1001" s="8"/>
    </row>
    <row r="1002" spans="1:5" x14ac:dyDescent="0.3">
      <c r="A1002" s="9"/>
      <c r="B1002" s="8"/>
      <c r="C1002" s="20"/>
      <c r="D1002" s="8"/>
      <c r="E1002" s="8"/>
    </row>
    <row r="1003" spans="1:5" x14ac:dyDescent="0.3">
      <c r="A1003" s="9"/>
      <c r="B1003" s="8"/>
      <c r="C1003" s="20"/>
      <c r="D1003" s="8"/>
      <c r="E1003" s="8"/>
    </row>
    <row r="1004" spans="1:5" x14ac:dyDescent="0.3">
      <c r="A1004" s="9"/>
      <c r="B1004" s="8"/>
      <c r="C1004" s="20"/>
      <c r="D1004" s="8"/>
      <c r="E1004" s="8"/>
    </row>
    <row r="1005" spans="1:5" x14ac:dyDescent="0.3">
      <c r="A1005" s="9"/>
      <c r="B1005" s="8"/>
      <c r="C1005" s="20"/>
      <c r="D1005" s="8"/>
      <c r="E1005" s="8"/>
    </row>
    <row r="1006" spans="1:5" x14ac:dyDescent="0.3">
      <c r="A1006" s="9"/>
      <c r="B1006" s="8"/>
      <c r="C1006" s="20"/>
      <c r="D1006" s="8"/>
      <c r="E1006" s="8"/>
    </row>
    <row r="1007" spans="1:5" x14ac:dyDescent="0.3">
      <c r="A1007" s="9"/>
      <c r="B1007" s="8"/>
      <c r="C1007" s="20"/>
      <c r="D1007" s="8"/>
      <c r="E1007" s="8"/>
    </row>
    <row r="1008" spans="1:5" x14ac:dyDescent="0.3">
      <c r="A1008" s="9"/>
      <c r="B1008" s="8"/>
      <c r="C1008" s="20"/>
      <c r="D1008" s="8"/>
      <c r="E1008" s="8"/>
    </row>
    <row r="1009" spans="1:5" x14ac:dyDescent="0.3">
      <c r="A1009" s="9"/>
      <c r="B1009" s="8"/>
      <c r="C1009" s="20"/>
      <c r="D1009" s="8"/>
      <c r="E1009" s="8"/>
    </row>
    <row r="1010" spans="1:5" x14ac:dyDescent="0.3">
      <c r="A1010" s="9"/>
      <c r="B1010" s="8"/>
      <c r="C1010" s="20"/>
      <c r="D1010" s="8"/>
      <c r="E1010" s="8"/>
    </row>
    <row r="1011" spans="1:5" x14ac:dyDescent="0.3">
      <c r="A1011" s="9"/>
      <c r="B1011" s="8"/>
      <c r="C1011" s="20"/>
      <c r="D1011" s="8"/>
      <c r="E1011" s="8"/>
    </row>
    <row r="1012" spans="1:5" x14ac:dyDescent="0.3">
      <c r="A1012" s="9"/>
      <c r="B1012" s="8"/>
      <c r="C1012" s="20"/>
      <c r="D1012" s="8"/>
      <c r="E1012" s="8"/>
    </row>
    <row r="1013" spans="1:5" x14ac:dyDescent="0.3">
      <c r="A1013" s="9"/>
      <c r="B1013" s="8"/>
      <c r="C1013" s="20"/>
      <c r="D1013" s="8"/>
      <c r="E1013" s="8"/>
    </row>
    <row r="1014" spans="1:5" x14ac:dyDescent="0.3">
      <c r="A1014" s="9"/>
      <c r="B1014" s="8"/>
      <c r="C1014" s="20"/>
      <c r="D1014" s="8"/>
      <c r="E1014" s="8"/>
    </row>
    <row r="1015" spans="1:5" x14ac:dyDescent="0.3">
      <c r="A1015" s="9"/>
      <c r="B1015" s="8"/>
      <c r="C1015" s="20"/>
      <c r="D1015" s="8"/>
      <c r="E1015" s="8"/>
    </row>
    <row r="1016" spans="1:5" x14ac:dyDescent="0.3">
      <c r="A1016" s="9"/>
      <c r="B1016" s="8"/>
      <c r="C1016" s="20"/>
      <c r="D1016" s="8"/>
      <c r="E1016" s="8"/>
    </row>
    <row r="1017" spans="1:5" x14ac:dyDescent="0.3">
      <c r="A1017" s="9"/>
      <c r="B1017" s="8"/>
      <c r="C1017" s="20"/>
      <c r="D1017" s="8"/>
      <c r="E1017" s="8"/>
    </row>
    <row r="1018" spans="1:5" x14ac:dyDescent="0.3">
      <c r="A1018" s="9"/>
      <c r="B1018" s="8"/>
      <c r="C1018" s="20"/>
      <c r="D1018" s="8"/>
      <c r="E1018" s="8"/>
    </row>
    <row r="1019" spans="1:5" x14ac:dyDescent="0.3">
      <c r="A1019" s="9"/>
      <c r="B1019" s="8"/>
      <c r="C1019" s="20"/>
      <c r="D1019" s="8"/>
      <c r="E1019" s="8"/>
    </row>
    <row r="1020" spans="1:5" x14ac:dyDescent="0.3">
      <c r="A1020" s="9"/>
      <c r="B1020" s="8"/>
      <c r="C1020" s="20"/>
      <c r="D1020" s="8"/>
      <c r="E1020" s="8"/>
    </row>
    <row r="1021" spans="1:5" x14ac:dyDescent="0.3">
      <c r="A1021" s="9"/>
      <c r="B1021" s="8"/>
      <c r="C1021" s="20"/>
      <c r="D1021" s="8"/>
      <c r="E1021" s="8"/>
    </row>
    <row r="1022" spans="1:5" x14ac:dyDescent="0.3">
      <c r="A1022" s="9"/>
      <c r="B1022" s="8"/>
      <c r="C1022" s="20"/>
      <c r="D1022" s="8"/>
      <c r="E1022" s="8"/>
    </row>
    <row r="1023" spans="1:5" x14ac:dyDescent="0.3">
      <c r="A1023" s="9"/>
      <c r="B1023" s="8"/>
      <c r="C1023" s="20"/>
      <c r="D1023" s="8"/>
      <c r="E1023" s="8"/>
    </row>
    <row r="1024" spans="1:5" x14ac:dyDescent="0.3">
      <c r="A1024" s="9"/>
      <c r="B1024" s="8"/>
      <c r="C1024" s="20"/>
      <c r="D1024" s="8"/>
      <c r="E1024" s="8"/>
    </row>
    <row r="1025" spans="1:5" x14ac:dyDescent="0.3">
      <c r="A1025" s="9"/>
      <c r="B1025" s="8"/>
      <c r="C1025" s="20"/>
      <c r="D1025" s="8"/>
      <c r="E1025" s="8"/>
    </row>
    <row r="1026" spans="1:5" x14ac:dyDescent="0.3">
      <c r="A1026" s="9"/>
      <c r="B1026" s="8"/>
      <c r="C1026" s="20"/>
      <c r="D1026" s="8"/>
      <c r="E1026" s="8"/>
    </row>
    <row r="1027" spans="1:5" x14ac:dyDescent="0.3">
      <c r="A1027" s="9"/>
      <c r="B1027" s="8"/>
      <c r="C1027" s="20"/>
      <c r="D1027" s="8"/>
      <c r="E1027" s="8"/>
    </row>
    <row r="1028" spans="1:5" x14ac:dyDescent="0.3">
      <c r="A1028" s="9"/>
      <c r="B1028" s="8"/>
      <c r="C1028" s="20"/>
      <c r="D1028" s="8"/>
      <c r="E1028" s="8"/>
    </row>
    <row r="1029" spans="1:5" x14ac:dyDescent="0.3">
      <c r="A1029" s="9"/>
      <c r="B1029" s="8"/>
      <c r="C1029" s="20"/>
      <c r="D1029" s="8"/>
      <c r="E1029" s="8"/>
    </row>
    <row r="1030" spans="1:5" x14ac:dyDescent="0.3">
      <c r="A1030" s="9"/>
      <c r="B1030" s="8"/>
      <c r="C1030" s="20"/>
      <c r="D1030" s="8"/>
      <c r="E1030" s="8"/>
    </row>
    <row r="1031" spans="1:5" x14ac:dyDescent="0.3">
      <c r="A1031" s="9"/>
      <c r="B1031" s="8"/>
      <c r="C1031" s="20"/>
      <c r="D1031" s="8"/>
      <c r="E1031" s="8"/>
    </row>
    <row r="1032" spans="1:5" x14ac:dyDescent="0.3">
      <c r="A1032" s="9"/>
      <c r="B1032" s="8"/>
      <c r="C1032" s="20"/>
      <c r="D1032" s="8"/>
      <c r="E1032" s="8"/>
    </row>
    <row r="1033" spans="1:5" x14ac:dyDescent="0.3">
      <c r="A1033" s="9"/>
      <c r="B1033" s="8"/>
      <c r="C1033" s="20"/>
      <c r="D1033" s="8"/>
      <c r="E1033" s="8"/>
    </row>
    <row r="1034" spans="1:5" x14ac:dyDescent="0.3">
      <c r="A1034" s="9"/>
      <c r="B1034" s="8"/>
      <c r="C1034" s="20"/>
      <c r="D1034" s="8"/>
      <c r="E1034" s="8"/>
    </row>
    <row r="1035" spans="1:5" x14ac:dyDescent="0.3">
      <c r="A1035" s="9"/>
      <c r="B1035" s="8"/>
      <c r="C1035" s="20"/>
      <c r="D1035" s="8"/>
      <c r="E1035" s="8"/>
    </row>
    <row r="1036" spans="1:5" x14ac:dyDescent="0.3">
      <c r="A1036" s="9"/>
      <c r="B1036" s="8"/>
      <c r="C1036" s="20"/>
      <c r="D1036" s="8"/>
      <c r="E1036" s="8"/>
    </row>
    <row r="1037" spans="1:5" x14ac:dyDescent="0.3">
      <c r="A1037" s="9"/>
      <c r="B1037" s="8"/>
      <c r="C1037" s="20"/>
      <c r="D1037" s="8"/>
      <c r="E1037" s="8"/>
    </row>
    <row r="1038" spans="1:5" x14ac:dyDescent="0.3">
      <c r="A1038" s="9"/>
      <c r="B1038" s="8"/>
      <c r="C1038" s="20"/>
      <c r="D1038" s="8"/>
      <c r="E1038" s="8"/>
    </row>
    <row r="1039" spans="1:5" x14ac:dyDescent="0.3">
      <c r="A1039" s="9"/>
      <c r="B1039" s="8"/>
      <c r="C1039" s="20"/>
      <c r="D1039" s="8"/>
      <c r="E1039" s="8"/>
    </row>
    <row r="1040" spans="1:5" x14ac:dyDescent="0.3">
      <c r="A1040" s="9"/>
      <c r="B1040" s="8"/>
      <c r="C1040" s="20"/>
      <c r="D1040" s="8"/>
      <c r="E1040" s="8"/>
    </row>
    <row r="1041" spans="1:5" x14ac:dyDescent="0.3">
      <c r="A1041" s="9"/>
      <c r="B1041" s="8"/>
      <c r="C1041" s="20"/>
      <c r="D1041" s="8"/>
      <c r="E1041" s="8"/>
    </row>
    <row r="1042" spans="1:5" x14ac:dyDescent="0.3">
      <c r="A1042" s="9"/>
      <c r="B1042" s="8"/>
      <c r="C1042" s="20"/>
      <c r="D1042" s="8"/>
      <c r="E1042" s="8"/>
    </row>
    <row r="1043" spans="1:5" x14ac:dyDescent="0.3">
      <c r="A1043" s="9"/>
      <c r="B1043" s="8"/>
      <c r="C1043" s="20"/>
      <c r="D1043" s="8"/>
      <c r="E1043" s="8"/>
    </row>
    <row r="1044" spans="1:5" x14ac:dyDescent="0.3">
      <c r="A1044" s="9"/>
      <c r="B1044" s="8"/>
      <c r="C1044" s="20"/>
      <c r="D1044" s="8"/>
      <c r="E1044" s="8"/>
    </row>
    <row r="1045" spans="1:5" x14ac:dyDescent="0.3">
      <c r="A1045" s="9"/>
      <c r="B1045" s="8"/>
      <c r="C1045" s="20"/>
      <c r="D1045" s="8"/>
      <c r="E1045" s="8"/>
    </row>
    <row r="1046" spans="1:5" x14ac:dyDescent="0.3">
      <c r="A1046" s="9"/>
      <c r="B1046" s="8"/>
      <c r="C1046" s="20"/>
      <c r="D1046" s="8"/>
      <c r="E1046" s="8"/>
    </row>
    <row r="1047" spans="1:5" x14ac:dyDescent="0.3">
      <c r="A1047" s="9"/>
      <c r="B1047" s="8"/>
      <c r="C1047" s="20"/>
      <c r="D1047" s="8"/>
      <c r="E1047" s="8"/>
    </row>
    <row r="1048" spans="1:5" x14ac:dyDescent="0.3">
      <c r="A1048" s="9"/>
      <c r="B1048" s="8"/>
      <c r="C1048" s="20"/>
      <c r="D1048" s="8"/>
      <c r="E1048" s="8"/>
    </row>
    <row r="1049" spans="1:5" x14ac:dyDescent="0.3">
      <c r="A1049" s="9"/>
      <c r="B1049" s="8"/>
      <c r="C1049" s="20"/>
      <c r="D1049" s="8"/>
      <c r="E1049" s="8"/>
    </row>
    <row r="1050" spans="1:5" x14ac:dyDescent="0.3">
      <c r="A1050" s="9"/>
      <c r="B1050" s="8"/>
      <c r="C1050" s="20"/>
      <c r="D1050" s="8"/>
      <c r="E1050" s="8"/>
    </row>
    <row r="1051" spans="1:5" x14ac:dyDescent="0.3">
      <c r="A1051" s="9"/>
      <c r="B1051" s="8"/>
      <c r="C1051" s="20"/>
      <c r="D1051" s="8"/>
      <c r="E1051" s="8"/>
    </row>
    <row r="1052" spans="1:5" x14ac:dyDescent="0.3">
      <c r="A1052" s="9"/>
      <c r="B1052" s="8"/>
      <c r="C1052" s="20"/>
      <c r="D1052" s="8"/>
      <c r="E1052" s="8"/>
    </row>
    <row r="1053" spans="1:5" x14ac:dyDescent="0.3">
      <c r="A1053" s="9"/>
      <c r="B1053" s="8"/>
      <c r="C1053" s="20"/>
      <c r="D1053" s="8"/>
      <c r="E1053" s="8"/>
    </row>
    <row r="1054" spans="1:5" x14ac:dyDescent="0.3">
      <c r="A1054" s="9"/>
      <c r="B1054" s="8"/>
      <c r="C1054" s="20"/>
      <c r="D1054" s="8"/>
      <c r="E1054" s="8"/>
    </row>
    <row r="1055" spans="1:5" x14ac:dyDescent="0.3">
      <c r="A1055" s="9"/>
      <c r="B1055" s="8"/>
      <c r="C1055" s="20"/>
      <c r="D1055" s="8"/>
      <c r="E1055" s="8"/>
    </row>
    <row r="1056" spans="1:5" x14ac:dyDescent="0.3">
      <c r="A1056" s="9"/>
      <c r="B1056" s="8"/>
      <c r="C1056" s="20"/>
      <c r="D1056" s="8"/>
      <c r="E1056" s="8"/>
    </row>
    <row r="1057" spans="1:5" x14ac:dyDescent="0.3">
      <c r="A1057" s="9"/>
      <c r="B1057" s="8"/>
      <c r="C1057" s="20"/>
      <c r="D1057" s="8"/>
      <c r="E1057" s="8"/>
    </row>
    <row r="1058" spans="1:5" x14ac:dyDescent="0.3">
      <c r="A1058" s="9"/>
      <c r="B1058" s="8"/>
      <c r="C1058" s="20"/>
      <c r="D1058" s="8"/>
      <c r="E1058" s="8"/>
    </row>
    <row r="1059" spans="1:5" x14ac:dyDescent="0.3">
      <c r="A1059" s="9"/>
      <c r="B1059" s="8"/>
      <c r="C1059" s="20"/>
      <c r="D1059" s="8"/>
      <c r="E1059" s="8"/>
    </row>
    <row r="1060" spans="1:5" x14ac:dyDescent="0.3">
      <c r="A1060" s="9"/>
      <c r="B1060" s="8"/>
      <c r="C1060" s="20"/>
      <c r="D1060" s="8"/>
      <c r="E1060" s="8"/>
    </row>
    <row r="1061" spans="1:5" x14ac:dyDescent="0.3">
      <c r="A1061" s="9"/>
      <c r="B1061" s="8"/>
      <c r="C1061" s="20"/>
      <c r="D1061" s="8"/>
      <c r="E1061" s="8"/>
    </row>
    <row r="1062" spans="1:5" x14ac:dyDescent="0.3">
      <c r="A1062" s="9"/>
      <c r="B1062" s="8"/>
      <c r="C1062" s="20"/>
      <c r="D1062" s="8"/>
      <c r="E1062" s="8"/>
    </row>
    <row r="1063" spans="1:5" x14ac:dyDescent="0.3">
      <c r="A1063" s="9"/>
      <c r="B1063" s="8"/>
      <c r="C1063" s="20"/>
      <c r="D1063" s="8"/>
      <c r="E1063" s="8"/>
    </row>
    <row r="1064" spans="1:5" x14ac:dyDescent="0.3">
      <c r="A1064" s="9"/>
      <c r="B1064" s="8"/>
      <c r="C1064" s="20"/>
      <c r="D1064" s="8"/>
      <c r="E1064" s="8"/>
    </row>
    <row r="1065" spans="1:5" x14ac:dyDescent="0.3">
      <c r="A1065" s="9"/>
      <c r="B1065" s="8"/>
      <c r="C1065" s="20"/>
      <c r="D1065" s="8"/>
      <c r="E1065" s="8"/>
    </row>
    <row r="1066" spans="1:5" x14ac:dyDescent="0.3">
      <c r="A1066" s="9"/>
      <c r="B1066" s="8"/>
      <c r="C1066" s="20"/>
      <c r="D1066" s="8"/>
      <c r="E1066" s="8"/>
    </row>
    <row r="1067" spans="1:5" x14ac:dyDescent="0.3">
      <c r="A1067" s="9"/>
      <c r="B1067" s="8"/>
      <c r="C1067" s="20"/>
      <c r="D1067" s="8"/>
      <c r="E1067" s="8"/>
    </row>
    <row r="1068" spans="1:5" x14ac:dyDescent="0.3">
      <c r="A1068" s="9"/>
      <c r="B1068" s="8"/>
      <c r="C1068" s="20"/>
      <c r="D1068" s="8"/>
      <c r="E1068" s="8"/>
    </row>
    <row r="1069" spans="1:5" x14ac:dyDescent="0.3">
      <c r="A1069" s="9"/>
      <c r="B1069" s="8"/>
      <c r="C1069" s="20"/>
      <c r="D1069" s="8"/>
      <c r="E1069" s="8"/>
    </row>
    <row r="1070" spans="1:5" x14ac:dyDescent="0.3">
      <c r="A1070" s="9"/>
      <c r="B1070" s="8"/>
      <c r="C1070" s="20"/>
      <c r="D1070" s="8"/>
      <c r="E1070" s="8"/>
    </row>
    <row r="1071" spans="1:5" x14ac:dyDescent="0.3">
      <c r="A1071" s="9"/>
      <c r="B1071" s="8"/>
      <c r="C1071" s="20"/>
      <c r="D1071" s="8"/>
      <c r="E1071" s="8"/>
    </row>
    <row r="1072" spans="1:5" x14ac:dyDescent="0.3">
      <c r="A1072" s="9"/>
      <c r="B1072" s="8"/>
      <c r="C1072" s="20"/>
      <c r="D1072" s="8"/>
      <c r="E1072" s="8"/>
    </row>
    <row r="1073" spans="1:5" x14ac:dyDescent="0.3">
      <c r="A1073" s="9"/>
      <c r="B1073" s="8"/>
      <c r="C1073" s="20"/>
      <c r="D1073" s="8"/>
      <c r="E1073" s="8"/>
    </row>
    <row r="1074" spans="1:5" x14ac:dyDescent="0.3">
      <c r="A1074" s="9"/>
      <c r="B1074" s="8"/>
      <c r="C1074" s="20"/>
      <c r="D1074" s="8"/>
      <c r="E1074" s="8"/>
    </row>
    <row r="1075" spans="1:5" x14ac:dyDescent="0.3">
      <c r="A1075" s="9"/>
      <c r="B1075" s="8"/>
      <c r="C1075" s="20"/>
      <c r="D1075" s="8"/>
      <c r="E1075" s="8"/>
    </row>
    <row r="1076" spans="1:5" x14ac:dyDescent="0.3">
      <c r="A1076" s="9"/>
      <c r="B1076" s="8"/>
      <c r="C1076" s="20"/>
      <c r="D1076" s="8"/>
      <c r="E1076" s="8"/>
    </row>
    <row r="1077" spans="1:5" x14ac:dyDescent="0.3">
      <c r="A1077" s="9"/>
      <c r="B1077" s="8"/>
      <c r="C1077" s="20"/>
      <c r="D1077" s="8"/>
      <c r="E1077" s="8"/>
    </row>
    <row r="1078" spans="1:5" x14ac:dyDescent="0.3">
      <c r="A1078" s="9"/>
      <c r="B1078" s="8"/>
      <c r="C1078" s="20"/>
      <c r="D1078" s="8"/>
      <c r="E1078" s="8"/>
    </row>
    <row r="1079" spans="1:5" x14ac:dyDescent="0.3">
      <c r="A1079" s="9"/>
      <c r="B1079" s="8"/>
      <c r="C1079" s="20"/>
      <c r="D1079" s="8"/>
      <c r="E1079" s="8"/>
    </row>
    <row r="1080" spans="1:5" x14ac:dyDescent="0.3">
      <c r="A1080" s="9"/>
      <c r="B1080" s="8"/>
      <c r="C1080" s="20"/>
      <c r="D1080" s="8"/>
      <c r="E1080" s="8"/>
    </row>
    <row r="1081" spans="1:5" x14ac:dyDescent="0.3">
      <c r="A1081" s="9"/>
      <c r="B1081" s="8"/>
      <c r="C1081" s="20"/>
      <c r="D1081" s="8"/>
      <c r="E1081" s="8"/>
    </row>
    <row r="1082" spans="1:5" x14ac:dyDescent="0.3">
      <c r="A1082" s="9"/>
      <c r="B1082" s="8"/>
      <c r="C1082" s="20"/>
      <c r="D1082" s="8"/>
      <c r="E1082" s="8"/>
    </row>
    <row r="1083" spans="1:5" x14ac:dyDescent="0.3">
      <c r="A1083" s="9"/>
      <c r="B1083" s="8"/>
      <c r="C1083" s="20"/>
      <c r="D1083" s="8"/>
      <c r="E1083" s="8"/>
    </row>
    <row r="1084" spans="1:5" x14ac:dyDescent="0.3">
      <c r="A1084" s="9"/>
      <c r="B1084" s="8"/>
      <c r="C1084" s="20"/>
      <c r="D1084" s="8"/>
      <c r="E1084" s="8"/>
    </row>
    <row r="1085" spans="1:5" x14ac:dyDescent="0.3">
      <c r="A1085" s="9"/>
      <c r="B1085" s="8"/>
      <c r="C1085" s="20"/>
      <c r="D1085" s="8"/>
      <c r="E1085" s="8"/>
    </row>
    <row r="1086" spans="1:5" x14ac:dyDescent="0.3">
      <c r="A1086" s="9"/>
      <c r="B1086" s="8"/>
      <c r="C1086" s="20"/>
      <c r="D1086" s="8"/>
      <c r="E1086" s="8"/>
    </row>
    <row r="1087" spans="1:5" x14ac:dyDescent="0.3">
      <c r="A1087" s="9"/>
      <c r="B1087" s="8"/>
      <c r="C1087" s="20"/>
      <c r="D1087" s="8"/>
      <c r="E1087" s="8"/>
    </row>
    <row r="1088" spans="1:5" x14ac:dyDescent="0.3">
      <c r="A1088" s="9"/>
      <c r="B1088" s="8"/>
      <c r="C1088" s="20"/>
      <c r="D1088" s="8"/>
      <c r="E1088" s="8"/>
    </row>
    <row r="1089" spans="1:5" x14ac:dyDescent="0.3">
      <c r="A1089" s="9"/>
      <c r="B1089" s="8"/>
      <c r="C1089" s="20"/>
      <c r="D1089" s="8"/>
      <c r="E1089" s="8"/>
    </row>
    <row r="1090" spans="1:5" x14ac:dyDescent="0.3">
      <c r="A1090" s="9"/>
      <c r="B1090" s="8"/>
      <c r="C1090" s="20"/>
      <c r="D1090" s="8"/>
      <c r="E1090" s="8"/>
    </row>
    <row r="1091" spans="1:5" x14ac:dyDescent="0.3">
      <c r="A1091" s="9"/>
      <c r="B1091" s="8"/>
      <c r="C1091" s="20"/>
      <c r="D1091" s="8"/>
      <c r="E1091" s="8"/>
    </row>
    <row r="1092" spans="1:5" x14ac:dyDescent="0.3">
      <c r="A1092" s="9"/>
      <c r="B1092" s="8"/>
      <c r="C1092" s="20"/>
      <c r="D1092" s="8"/>
      <c r="E1092" s="8"/>
    </row>
    <row r="1093" spans="1:5" x14ac:dyDescent="0.3">
      <c r="A1093" s="9"/>
      <c r="B1093" s="8"/>
      <c r="C1093" s="20"/>
      <c r="D1093" s="8"/>
      <c r="E1093" s="8"/>
    </row>
    <row r="1094" spans="1:5" x14ac:dyDescent="0.3">
      <c r="A1094" s="9"/>
      <c r="B1094" s="8"/>
      <c r="C1094" s="20"/>
      <c r="D1094" s="8"/>
      <c r="E1094" s="8"/>
    </row>
    <row r="1095" spans="1:5" x14ac:dyDescent="0.3">
      <c r="A1095" s="9"/>
      <c r="B1095" s="8"/>
      <c r="C1095" s="20"/>
      <c r="D1095" s="8"/>
      <c r="E1095" s="8"/>
    </row>
    <row r="1096" spans="1:5" x14ac:dyDescent="0.3">
      <c r="A1096" s="9"/>
      <c r="B1096" s="8"/>
      <c r="C1096" s="20"/>
      <c r="D1096" s="8"/>
      <c r="E1096" s="8"/>
    </row>
    <row r="1097" spans="1:5" x14ac:dyDescent="0.3">
      <c r="A1097" s="9"/>
      <c r="B1097" s="8"/>
      <c r="C1097" s="20"/>
      <c r="D1097" s="8"/>
      <c r="E1097" s="8"/>
    </row>
    <row r="1098" spans="1:5" x14ac:dyDescent="0.3">
      <c r="A1098" s="9"/>
      <c r="B1098" s="8"/>
      <c r="C1098" s="20"/>
      <c r="D1098" s="8"/>
      <c r="E1098" s="8"/>
    </row>
    <row r="1099" spans="1:5" x14ac:dyDescent="0.3">
      <c r="A1099" s="9"/>
      <c r="B1099" s="8"/>
      <c r="C1099" s="20"/>
      <c r="D1099" s="8"/>
      <c r="E1099" s="8"/>
    </row>
    <row r="1100" spans="1:5" x14ac:dyDescent="0.3">
      <c r="A1100" s="9"/>
      <c r="B1100" s="8"/>
      <c r="C1100" s="20"/>
      <c r="D1100" s="8"/>
      <c r="E1100" s="8"/>
    </row>
    <row r="1101" spans="1:5" x14ac:dyDescent="0.3">
      <c r="A1101" s="9"/>
      <c r="B1101" s="8"/>
      <c r="C1101" s="20"/>
      <c r="D1101" s="8"/>
      <c r="E1101" s="8"/>
    </row>
    <row r="1102" spans="1:5" x14ac:dyDescent="0.3">
      <c r="A1102" s="9"/>
      <c r="B1102" s="8"/>
      <c r="C1102" s="20"/>
      <c r="D1102" s="8"/>
      <c r="E1102" s="8"/>
    </row>
    <row r="1103" spans="1:5" x14ac:dyDescent="0.3">
      <c r="A1103" s="9"/>
      <c r="B1103" s="8"/>
      <c r="C1103" s="20"/>
      <c r="D1103" s="8"/>
      <c r="E1103" s="8"/>
    </row>
    <row r="1104" spans="1:5" x14ac:dyDescent="0.3">
      <c r="A1104" s="9"/>
      <c r="B1104" s="8"/>
      <c r="C1104" s="20"/>
      <c r="D1104" s="8"/>
      <c r="E1104" s="8"/>
    </row>
    <row r="1105" spans="1:5" x14ac:dyDescent="0.3">
      <c r="A1105" s="9"/>
      <c r="B1105" s="8"/>
      <c r="C1105" s="20"/>
      <c r="D1105" s="8"/>
      <c r="E1105" s="8"/>
    </row>
    <row r="1106" spans="1:5" x14ac:dyDescent="0.3">
      <c r="A1106" s="9"/>
      <c r="B1106" s="8"/>
      <c r="C1106" s="20"/>
      <c r="D1106" s="8"/>
      <c r="E1106" s="8"/>
    </row>
    <row r="1107" spans="1:5" x14ac:dyDescent="0.3">
      <c r="A1107" s="9"/>
      <c r="B1107" s="8"/>
      <c r="C1107" s="20"/>
      <c r="D1107" s="8"/>
      <c r="E1107" s="8"/>
    </row>
    <row r="1108" spans="1:5" x14ac:dyDescent="0.3">
      <c r="A1108" s="9"/>
      <c r="B1108" s="8"/>
      <c r="C1108" s="20"/>
      <c r="D1108" s="8"/>
      <c r="E1108" s="8"/>
    </row>
    <row r="1109" spans="1:5" x14ac:dyDescent="0.3">
      <c r="A1109" s="9"/>
      <c r="B1109" s="8"/>
      <c r="C1109" s="20"/>
      <c r="D1109" s="8"/>
      <c r="E1109" s="8"/>
    </row>
    <row r="1110" spans="1:5" x14ac:dyDescent="0.3">
      <c r="A1110" s="9"/>
      <c r="B1110" s="8"/>
      <c r="C1110" s="20"/>
      <c r="D1110" s="8"/>
      <c r="E1110" s="8"/>
    </row>
    <row r="1111" spans="1:5" x14ac:dyDescent="0.3">
      <c r="A1111" s="9"/>
      <c r="B1111" s="8"/>
      <c r="C1111" s="20"/>
      <c r="D1111" s="8"/>
      <c r="E1111" s="8"/>
    </row>
    <row r="1112" spans="1:5" x14ac:dyDescent="0.3">
      <c r="A1112" s="9"/>
      <c r="B1112" s="8"/>
      <c r="C1112" s="20"/>
      <c r="D1112" s="8"/>
      <c r="E1112" s="8"/>
    </row>
    <row r="1113" spans="1:5" x14ac:dyDescent="0.3">
      <c r="A1113" s="9"/>
      <c r="B1113" s="8"/>
      <c r="C1113" s="20"/>
      <c r="D1113" s="8"/>
      <c r="E1113" s="8"/>
    </row>
    <row r="1114" spans="1:5" x14ac:dyDescent="0.3">
      <c r="A1114" s="9"/>
      <c r="B1114" s="8"/>
      <c r="C1114" s="20"/>
      <c r="D1114" s="8"/>
      <c r="E1114" s="8"/>
    </row>
    <row r="1115" spans="1:5" x14ac:dyDescent="0.3">
      <c r="A1115" s="9"/>
      <c r="B1115" s="8"/>
      <c r="C1115" s="20"/>
      <c r="D1115" s="8"/>
      <c r="E1115" s="8"/>
    </row>
    <row r="1116" spans="1:5" x14ac:dyDescent="0.3">
      <c r="A1116" s="9"/>
      <c r="B1116" s="8"/>
      <c r="C1116" s="20"/>
      <c r="D1116" s="8"/>
      <c r="E1116" s="8"/>
    </row>
    <row r="1117" spans="1:5" x14ac:dyDescent="0.3">
      <c r="A1117" s="9"/>
      <c r="B1117" s="8"/>
      <c r="C1117" s="20"/>
      <c r="D1117" s="8"/>
      <c r="E1117" s="8"/>
    </row>
    <row r="1118" spans="1:5" x14ac:dyDescent="0.3">
      <c r="A1118" s="9"/>
      <c r="B1118" s="8"/>
      <c r="C1118" s="20"/>
      <c r="D1118" s="8"/>
      <c r="E1118" s="8"/>
    </row>
    <row r="1119" spans="1:5" x14ac:dyDescent="0.3">
      <c r="A1119" s="9"/>
      <c r="B1119" s="8"/>
      <c r="C1119" s="20"/>
      <c r="D1119" s="8"/>
      <c r="E1119" s="8"/>
    </row>
    <row r="1120" spans="1:5" x14ac:dyDescent="0.3">
      <c r="A1120" s="9"/>
      <c r="B1120" s="8"/>
      <c r="C1120" s="20"/>
      <c r="D1120" s="8"/>
      <c r="E1120" s="8"/>
    </row>
    <row r="1121" spans="1:5" x14ac:dyDescent="0.3">
      <c r="A1121" s="9"/>
      <c r="B1121" s="8"/>
      <c r="C1121" s="20"/>
      <c r="D1121" s="8"/>
      <c r="E1121" s="8"/>
    </row>
    <row r="1122" spans="1:5" x14ac:dyDescent="0.3">
      <c r="A1122" s="9"/>
      <c r="B1122" s="8"/>
      <c r="C1122" s="20"/>
      <c r="D1122" s="8"/>
      <c r="E1122" s="8"/>
    </row>
    <row r="1123" spans="1:5" x14ac:dyDescent="0.3">
      <c r="A1123" s="9"/>
      <c r="B1123" s="8"/>
      <c r="C1123" s="20"/>
      <c r="D1123" s="8"/>
      <c r="E1123" s="8"/>
    </row>
    <row r="1124" spans="1:5" x14ac:dyDescent="0.3">
      <c r="A1124" s="9"/>
      <c r="B1124" s="8"/>
      <c r="C1124" s="20"/>
      <c r="D1124" s="8"/>
      <c r="E1124" s="8"/>
    </row>
    <row r="1125" spans="1:5" x14ac:dyDescent="0.3">
      <c r="A1125" s="9"/>
      <c r="B1125" s="8"/>
      <c r="C1125" s="20"/>
      <c r="D1125" s="8"/>
      <c r="E1125" s="8"/>
    </row>
    <row r="1126" spans="1:5" x14ac:dyDescent="0.3">
      <c r="A1126" s="9"/>
      <c r="B1126" s="8"/>
      <c r="C1126" s="20"/>
      <c r="D1126" s="8"/>
      <c r="E1126" s="8"/>
    </row>
    <row r="1127" spans="1:5" x14ac:dyDescent="0.3">
      <c r="A1127" s="9"/>
      <c r="B1127" s="8"/>
      <c r="C1127" s="20"/>
      <c r="D1127" s="8"/>
      <c r="E1127" s="8"/>
    </row>
    <row r="1128" spans="1:5" x14ac:dyDescent="0.3">
      <c r="A1128" s="9"/>
      <c r="B1128" s="8"/>
      <c r="C1128" s="20"/>
      <c r="D1128" s="8"/>
      <c r="E1128" s="8"/>
    </row>
    <row r="1129" spans="1:5" x14ac:dyDescent="0.3">
      <c r="A1129" s="9"/>
      <c r="B1129" s="8"/>
      <c r="C1129" s="20"/>
      <c r="D1129" s="8"/>
      <c r="E1129" s="8"/>
    </row>
    <row r="1130" spans="1:5" x14ac:dyDescent="0.3">
      <c r="A1130" s="9"/>
      <c r="B1130" s="8"/>
      <c r="C1130" s="20"/>
      <c r="D1130" s="8"/>
      <c r="E1130" s="8"/>
    </row>
    <row r="1131" spans="1:5" x14ac:dyDescent="0.3">
      <c r="A1131" s="9"/>
      <c r="B1131" s="8"/>
      <c r="C1131" s="20"/>
      <c r="D1131" s="8"/>
      <c r="E1131" s="8"/>
    </row>
    <row r="1132" spans="1:5" x14ac:dyDescent="0.3">
      <c r="A1132" s="9"/>
      <c r="B1132" s="8"/>
      <c r="C1132" s="20"/>
      <c r="D1132" s="8"/>
      <c r="E1132" s="8"/>
    </row>
    <row r="1133" spans="1:5" x14ac:dyDescent="0.3">
      <c r="A1133" s="9"/>
      <c r="B1133" s="8"/>
      <c r="C1133" s="20"/>
      <c r="D1133" s="8"/>
      <c r="E1133" s="8"/>
    </row>
    <row r="1134" spans="1:5" x14ac:dyDescent="0.3">
      <c r="A1134" s="9"/>
      <c r="B1134" s="8"/>
      <c r="C1134" s="20"/>
      <c r="D1134" s="8"/>
      <c r="E1134" s="8"/>
    </row>
    <row r="1135" spans="1:5" x14ac:dyDescent="0.3">
      <c r="A1135" s="9"/>
      <c r="B1135" s="8"/>
      <c r="C1135" s="20"/>
      <c r="D1135" s="8"/>
      <c r="E1135" s="8"/>
    </row>
    <row r="1136" spans="1:5" x14ac:dyDescent="0.3">
      <c r="A1136" s="9"/>
      <c r="B1136" s="8"/>
      <c r="C1136" s="20"/>
      <c r="D1136" s="8"/>
      <c r="E1136" s="8"/>
    </row>
    <row r="1137" spans="1:5" x14ac:dyDescent="0.3">
      <c r="A1137" s="9"/>
      <c r="B1137" s="8"/>
      <c r="C1137" s="20"/>
      <c r="D1137" s="8"/>
      <c r="E1137" s="8"/>
    </row>
    <row r="1138" spans="1:5" x14ac:dyDescent="0.3">
      <c r="A1138" s="9"/>
      <c r="B1138" s="8"/>
      <c r="C1138" s="20"/>
      <c r="D1138" s="8"/>
      <c r="E1138" s="8"/>
    </row>
    <row r="1139" spans="1:5" x14ac:dyDescent="0.3">
      <c r="A1139" s="9"/>
      <c r="B1139" s="8"/>
      <c r="C1139" s="20"/>
      <c r="D1139" s="8"/>
      <c r="E1139" s="8"/>
    </row>
    <row r="1140" spans="1:5" x14ac:dyDescent="0.3">
      <c r="A1140" s="9"/>
      <c r="B1140" s="8"/>
      <c r="C1140" s="20"/>
      <c r="D1140" s="8"/>
      <c r="E1140" s="8"/>
    </row>
    <row r="1141" spans="1:5" x14ac:dyDescent="0.3">
      <c r="A1141" s="9"/>
      <c r="B1141" s="8"/>
      <c r="C1141" s="20"/>
      <c r="D1141" s="8"/>
      <c r="E1141" s="8"/>
    </row>
    <row r="1142" spans="1:5" x14ac:dyDescent="0.3">
      <c r="A1142" s="9"/>
      <c r="B1142" s="8"/>
      <c r="C1142" s="20"/>
      <c r="D1142" s="8"/>
      <c r="E1142" s="8"/>
    </row>
    <row r="1143" spans="1:5" x14ac:dyDescent="0.3">
      <c r="A1143" s="9"/>
      <c r="B1143" s="8"/>
      <c r="C1143" s="20"/>
      <c r="D1143" s="8"/>
      <c r="E1143" s="8"/>
    </row>
    <row r="1144" spans="1:5" x14ac:dyDescent="0.3">
      <c r="A1144" s="9"/>
      <c r="B1144" s="8"/>
      <c r="C1144" s="20"/>
      <c r="D1144" s="8"/>
      <c r="E1144" s="8"/>
    </row>
    <row r="1145" spans="1:5" x14ac:dyDescent="0.3">
      <c r="A1145" s="9"/>
      <c r="B1145" s="8"/>
      <c r="C1145" s="20"/>
      <c r="D1145" s="8"/>
      <c r="E1145" s="8"/>
    </row>
    <row r="1146" spans="1:5" x14ac:dyDescent="0.3">
      <c r="A1146" s="9"/>
      <c r="B1146" s="8"/>
      <c r="C1146" s="20"/>
      <c r="D1146" s="8"/>
      <c r="E1146" s="8"/>
    </row>
    <row r="1147" spans="1:5" x14ac:dyDescent="0.3">
      <c r="A1147" s="9"/>
      <c r="B1147" s="8"/>
      <c r="C1147" s="20"/>
      <c r="D1147" s="8"/>
      <c r="E1147" s="8"/>
    </row>
    <row r="1148" spans="1:5" x14ac:dyDescent="0.3">
      <c r="A1148" s="9"/>
      <c r="B1148" s="8"/>
      <c r="C1148" s="20"/>
      <c r="D1148" s="8"/>
      <c r="E1148" s="8"/>
    </row>
    <row r="1149" spans="1:5" x14ac:dyDescent="0.3">
      <c r="A1149" s="9"/>
      <c r="B1149" s="8"/>
      <c r="C1149" s="20"/>
      <c r="D1149" s="8"/>
      <c r="E1149" s="8"/>
    </row>
    <row r="1150" spans="1:5" x14ac:dyDescent="0.3">
      <c r="A1150" s="9"/>
      <c r="B1150" s="8"/>
      <c r="C1150" s="20"/>
      <c r="D1150" s="8"/>
      <c r="E1150" s="8"/>
    </row>
    <row r="1151" spans="1:5" x14ac:dyDescent="0.3">
      <c r="A1151" s="9"/>
      <c r="B1151" s="8"/>
      <c r="C1151" s="20"/>
      <c r="D1151" s="8"/>
      <c r="E1151" s="8"/>
    </row>
    <row r="1152" spans="1:5" x14ac:dyDescent="0.3">
      <c r="A1152" s="9"/>
      <c r="B1152" s="8"/>
      <c r="C1152" s="20"/>
      <c r="D1152" s="8"/>
      <c r="E1152" s="8"/>
    </row>
    <row r="1153" spans="1:5" x14ac:dyDescent="0.3">
      <c r="A1153" s="9"/>
      <c r="B1153" s="8"/>
      <c r="C1153" s="20"/>
      <c r="D1153" s="8"/>
      <c r="E1153" s="8"/>
    </row>
    <row r="1154" spans="1:5" x14ac:dyDescent="0.3">
      <c r="A1154" s="9"/>
      <c r="B1154" s="8"/>
      <c r="C1154" s="20"/>
      <c r="D1154" s="8"/>
      <c r="E1154" s="8"/>
    </row>
    <row r="1155" spans="1:5" x14ac:dyDescent="0.3">
      <c r="A1155" s="9"/>
      <c r="B1155" s="8"/>
      <c r="C1155" s="20"/>
      <c r="D1155" s="8"/>
      <c r="E1155" s="8"/>
    </row>
    <row r="1156" spans="1:5" x14ac:dyDescent="0.3">
      <c r="A1156" s="9"/>
      <c r="B1156" s="8"/>
      <c r="C1156" s="20"/>
      <c r="D1156" s="8"/>
      <c r="E1156" s="8"/>
    </row>
    <row r="1157" spans="1:5" x14ac:dyDescent="0.3">
      <c r="A1157" s="9"/>
      <c r="B1157" s="8"/>
      <c r="C1157" s="20"/>
      <c r="D1157" s="8"/>
      <c r="E1157" s="8"/>
    </row>
    <row r="1158" spans="1:5" x14ac:dyDescent="0.3">
      <c r="A1158" s="9"/>
      <c r="B1158" s="8"/>
      <c r="C1158" s="20"/>
      <c r="D1158" s="8"/>
      <c r="E1158" s="8"/>
    </row>
    <row r="1159" spans="1:5" x14ac:dyDescent="0.3">
      <c r="A1159" s="9"/>
      <c r="B1159" s="8"/>
      <c r="C1159" s="20"/>
      <c r="D1159" s="8"/>
      <c r="E1159" s="8"/>
    </row>
    <row r="1160" spans="1:5" x14ac:dyDescent="0.3">
      <c r="A1160" s="9"/>
      <c r="B1160" s="8"/>
      <c r="C1160" s="20"/>
      <c r="D1160" s="8"/>
      <c r="E1160" s="8"/>
    </row>
    <row r="1161" spans="1:5" x14ac:dyDescent="0.3">
      <c r="A1161" s="9"/>
      <c r="B1161" s="8"/>
      <c r="C1161" s="20"/>
      <c r="D1161" s="8"/>
      <c r="E1161" s="8"/>
    </row>
    <row r="1162" spans="1:5" x14ac:dyDescent="0.3">
      <c r="A1162" s="9"/>
      <c r="B1162" s="8"/>
      <c r="C1162" s="20"/>
      <c r="D1162" s="8"/>
      <c r="E1162" s="8"/>
    </row>
    <row r="1163" spans="1:5" x14ac:dyDescent="0.3">
      <c r="A1163" s="9"/>
      <c r="B1163" s="8"/>
      <c r="C1163" s="20"/>
      <c r="D1163" s="8"/>
      <c r="E1163" s="8"/>
    </row>
    <row r="1164" spans="1:5" x14ac:dyDescent="0.3">
      <c r="A1164" s="9"/>
      <c r="B1164" s="8"/>
      <c r="C1164" s="20"/>
      <c r="D1164" s="8"/>
      <c r="E1164" s="8"/>
    </row>
    <row r="1165" spans="1:5" x14ac:dyDescent="0.3">
      <c r="A1165" s="9"/>
      <c r="B1165" s="8"/>
      <c r="C1165" s="20"/>
      <c r="D1165" s="8"/>
      <c r="E1165" s="8"/>
    </row>
    <row r="1166" spans="1:5" x14ac:dyDescent="0.3">
      <c r="A1166" s="9"/>
      <c r="B1166" s="8"/>
      <c r="C1166" s="20"/>
      <c r="D1166" s="8"/>
      <c r="E1166" s="8"/>
    </row>
    <row r="1167" spans="1:5" x14ac:dyDescent="0.3">
      <c r="A1167" s="9"/>
      <c r="B1167" s="8"/>
      <c r="C1167" s="20"/>
      <c r="D1167" s="8"/>
      <c r="E1167" s="8"/>
    </row>
    <row r="1168" spans="1:5" x14ac:dyDescent="0.3">
      <c r="A1168" s="9"/>
      <c r="B1168" s="8"/>
      <c r="C1168" s="20"/>
      <c r="D1168" s="8"/>
      <c r="E1168" s="8"/>
    </row>
    <row r="1169" spans="1:5" x14ac:dyDescent="0.3">
      <c r="A1169" s="9"/>
      <c r="B1169" s="8"/>
      <c r="C1169" s="20"/>
      <c r="D1169" s="8"/>
      <c r="E1169" s="8"/>
    </row>
    <row r="1170" spans="1:5" x14ac:dyDescent="0.3">
      <c r="A1170" s="9"/>
      <c r="B1170" s="8"/>
      <c r="C1170" s="20"/>
      <c r="D1170" s="8"/>
      <c r="E1170" s="8"/>
    </row>
    <row r="1171" spans="1:5" x14ac:dyDescent="0.3">
      <c r="A1171" s="9"/>
      <c r="B1171" s="8"/>
      <c r="C1171" s="20"/>
      <c r="D1171" s="8"/>
      <c r="E1171" s="8"/>
    </row>
    <row r="1172" spans="1:5" x14ac:dyDescent="0.3">
      <c r="A1172" s="9"/>
      <c r="B1172" s="8"/>
      <c r="C1172" s="20"/>
      <c r="D1172" s="8"/>
      <c r="E1172" s="8"/>
    </row>
    <row r="1173" spans="1:5" x14ac:dyDescent="0.3">
      <c r="A1173" s="9"/>
      <c r="B1173" s="8"/>
      <c r="C1173" s="20"/>
      <c r="D1173" s="8"/>
      <c r="E1173" s="8"/>
    </row>
    <row r="1174" spans="1:5" x14ac:dyDescent="0.3">
      <c r="A1174" s="9"/>
      <c r="B1174" s="8"/>
      <c r="C1174" s="20"/>
      <c r="D1174" s="8"/>
      <c r="E1174" s="8"/>
    </row>
    <row r="1175" spans="1:5" x14ac:dyDescent="0.3">
      <c r="A1175" s="9"/>
      <c r="B1175" s="8"/>
      <c r="C1175" s="20"/>
      <c r="D1175" s="8"/>
      <c r="E1175" s="8"/>
    </row>
    <row r="1176" spans="1:5" x14ac:dyDescent="0.3">
      <c r="A1176" s="9"/>
      <c r="B1176" s="8"/>
      <c r="C1176" s="20"/>
      <c r="D1176" s="8"/>
      <c r="E1176" s="8"/>
    </row>
    <row r="1177" spans="1:5" x14ac:dyDescent="0.3">
      <c r="A1177" s="9"/>
      <c r="B1177" s="8"/>
      <c r="C1177" s="20"/>
      <c r="D1177" s="8"/>
      <c r="E1177" s="8"/>
    </row>
    <row r="1178" spans="1:5" x14ac:dyDescent="0.3">
      <c r="A1178" s="9"/>
      <c r="B1178" s="8"/>
      <c r="C1178" s="20"/>
      <c r="D1178" s="8"/>
      <c r="E1178" s="8"/>
    </row>
    <row r="1179" spans="1:5" x14ac:dyDescent="0.3">
      <c r="A1179" s="9"/>
      <c r="B1179" s="8"/>
      <c r="C1179" s="20"/>
      <c r="D1179" s="8"/>
      <c r="E1179" s="8"/>
    </row>
    <row r="1180" spans="1:5" x14ac:dyDescent="0.3">
      <c r="A1180" s="9"/>
      <c r="B1180" s="8"/>
      <c r="C1180" s="20"/>
      <c r="D1180" s="8"/>
      <c r="E1180" s="8"/>
    </row>
    <row r="1181" spans="1:5" x14ac:dyDescent="0.3">
      <c r="A1181" s="9"/>
      <c r="B1181" s="8"/>
      <c r="C1181" s="20"/>
      <c r="D1181" s="8"/>
      <c r="E1181" s="8"/>
    </row>
    <row r="1182" spans="1:5" x14ac:dyDescent="0.3">
      <c r="A1182" s="9"/>
      <c r="B1182" s="8"/>
      <c r="C1182" s="20"/>
      <c r="D1182" s="8"/>
      <c r="E1182" s="8"/>
    </row>
    <row r="1183" spans="1:5" x14ac:dyDescent="0.3">
      <c r="A1183" s="9"/>
      <c r="B1183" s="8"/>
      <c r="C1183" s="20"/>
      <c r="D1183" s="8"/>
      <c r="E1183" s="8"/>
    </row>
    <row r="1184" spans="1:5" x14ac:dyDescent="0.3">
      <c r="A1184" s="9"/>
      <c r="B1184" s="8"/>
      <c r="C1184" s="20"/>
      <c r="D1184" s="8"/>
      <c r="E1184" s="8"/>
    </row>
    <row r="1185" spans="1:5" x14ac:dyDescent="0.3">
      <c r="A1185" s="9"/>
      <c r="B1185" s="8"/>
      <c r="C1185" s="20"/>
      <c r="D1185" s="8"/>
      <c r="E1185" s="8"/>
    </row>
    <row r="1186" spans="1:5" x14ac:dyDescent="0.3">
      <c r="A1186" s="9"/>
      <c r="B1186" s="8"/>
      <c r="C1186" s="20"/>
      <c r="D1186" s="8"/>
      <c r="E1186" s="8"/>
    </row>
    <row r="1187" spans="1:5" x14ac:dyDescent="0.3">
      <c r="A1187" s="9"/>
      <c r="B1187" s="8"/>
      <c r="C1187" s="20"/>
      <c r="D1187" s="8"/>
      <c r="E1187" s="8"/>
    </row>
    <row r="1188" spans="1:5" x14ac:dyDescent="0.3">
      <c r="A1188" s="9"/>
      <c r="B1188" s="8"/>
      <c r="C1188" s="20"/>
      <c r="D1188" s="8"/>
      <c r="E1188" s="8"/>
    </row>
    <row r="1189" spans="1:5" x14ac:dyDescent="0.3">
      <c r="A1189" s="9"/>
      <c r="B1189" s="8"/>
      <c r="C1189" s="20"/>
      <c r="D1189" s="8"/>
      <c r="E1189" s="8"/>
    </row>
    <row r="1190" spans="1:5" x14ac:dyDescent="0.3">
      <c r="A1190" s="9"/>
      <c r="B1190" s="8"/>
      <c r="C1190" s="20"/>
      <c r="D1190" s="8"/>
      <c r="E1190" s="8"/>
    </row>
    <row r="1191" spans="1:5" x14ac:dyDescent="0.3">
      <c r="A1191" s="9"/>
      <c r="B1191" s="8"/>
      <c r="C1191" s="20"/>
      <c r="D1191" s="8"/>
      <c r="E1191" s="8"/>
    </row>
    <row r="1192" spans="1:5" x14ac:dyDescent="0.3">
      <c r="A1192" s="9"/>
      <c r="B1192" s="8"/>
      <c r="C1192" s="20"/>
      <c r="D1192" s="8"/>
      <c r="E1192" s="8"/>
    </row>
    <row r="1193" spans="1:5" x14ac:dyDescent="0.3">
      <c r="A1193" s="9"/>
      <c r="B1193" s="8"/>
      <c r="C1193" s="20"/>
      <c r="D1193" s="8"/>
      <c r="E1193" s="8"/>
    </row>
    <row r="1194" spans="1:5" x14ac:dyDescent="0.3">
      <c r="A1194" s="9"/>
      <c r="B1194" s="8"/>
      <c r="C1194" s="20"/>
      <c r="D1194" s="8"/>
      <c r="E1194" s="8"/>
    </row>
    <row r="1195" spans="1:5" x14ac:dyDescent="0.3">
      <c r="A1195" s="9"/>
      <c r="B1195" s="8"/>
      <c r="C1195" s="20"/>
      <c r="D1195" s="8"/>
      <c r="E1195" s="8"/>
    </row>
    <row r="1196" spans="1:5" x14ac:dyDescent="0.3">
      <c r="A1196" s="9"/>
      <c r="B1196" s="8"/>
      <c r="C1196" s="20"/>
      <c r="D1196" s="8"/>
      <c r="E1196" s="8"/>
    </row>
    <row r="1197" spans="1:5" x14ac:dyDescent="0.3">
      <c r="A1197" s="9"/>
      <c r="B1197" s="8"/>
      <c r="C1197" s="20"/>
      <c r="D1197" s="8"/>
      <c r="E1197" s="8"/>
    </row>
    <row r="1198" spans="1:5" x14ac:dyDescent="0.3">
      <c r="A1198" s="9"/>
      <c r="B1198" s="8"/>
      <c r="C1198" s="20"/>
      <c r="D1198" s="8"/>
      <c r="E1198" s="8"/>
    </row>
    <row r="1199" spans="1:5" x14ac:dyDescent="0.3">
      <c r="A1199" s="9"/>
      <c r="B1199" s="8"/>
      <c r="C1199" s="20"/>
      <c r="D1199" s="8"/>
      <c r="E1199" s="8"/>
    </row>
    <row r="1200" spans="1:5" x14ac:dyDescent="0.3">
      <c r="A1200" s="9"/>
      <c r="B1200" s="8"/>
      <c r="C1200" s="20"/>
      <c r="D1200" s="8"/>
      <c r="E1200" s="8"/>
    </row>
    <row r="1201" spans="1:5" x14ac:dyDescent="0.3">
      <c r="A1201" s="9"/>
      <c r="B1201" s="8"/>
      <c r="C1201" s="20"/>
      <c r="D1201" s="8"/>
      <c r="E1201" s="8"/>
    </row>
    <row r="1202" spans="1:5" x14ac:dyDescent="0.3">
      <c r="A1202" s="9"/>
      <c r="B1202" s="8"/>
      <c r="C1202" s="20"/>
      <c r="D1202" s="8"/>
      <c r="E1202" s="8"/>
    </row>
    <row r="1203" spans="1:5" x14ac:dyDescent="0.3">
      <c r="A1203" s="9"/>
      <c r="B1203" s="8"/>
      <c r="C1203" s="20"/>
      <c r="D1203" s="8"/>
      <c r="E1203" s="8"/>
    </row>
    <row r="1204" spans="1:5" x14ac:dyDescent="0.3">
      <c r="A1204" s="9"/>
      <c r="B1204" s="8"/>
      <c r="C1204" s="20"/>
      <c r="D1204" s="8"/>
      <c r="E1204" s="8"/>
    </row>
    <row r="1205" spans="1:5" x14ac:dyDescent="0.3">
      <c r="A1205" s="9"/>
      <c r="B1205" s="8"/>
      <c r="C1205" s="20"/>
      <c r="D1205" s="8"/>
      <c r="E1205" s="8"/>
    </row>
    <row r="1206" spans="1:5" x14ac:dyDescent="0.3">
      <c r="A1206" s="9"/>
      <c r="B1206" s="8"/>
      <c r="C1206" s="20"/>
      <c r="D1206" s="8"/>
      <c r="E1206" s="8"/>
    </row>
    <row r="1207" spans="1:5" x14ac:dyDescent="0.3">
      <c r="A1207" s="9"/>
      <c r="B1207" s="8"/>
      <c r="C1207" s="20"/>
      <c r="D1207" s="8"/>
      <c r="E1207" s="8"/>
    </row>
    <row r="1208" spans="1:5" x14ac:dyDescent="0.3">
      <c r="A1208" s="9"/>
      <c r="B1208" s="8"/>
      <c r="C1208" s="20"/>
      <c r="D1208" s="8"/>
      <c r="E1208" s="8"/>
    </row>
    <row r="1209" spans="1:5" x14ac:dyDescent="0.3">
      <c r="A1209" s="9"/>
      <c r="B1209" s="8"/>
      <c r="C1209" s="20"/>
      <c r="D1209" s="8"/>
      <c r="E1209" s="8"/>
    </row>
    <row r="1210" spans="1:5" x14ac:dyDescent="0.3">
      <c r="A1210" s="9"/>
      <c r="B1210" s="8"/>
      <c r="C1210" s="20"/>
      <c r="D1210" s="8"/>
      <c r="E1210" s="8"/>
    </row>
    <row r="1211" spans="1:5" x14ac:dyDescent="0.3">
      <c r="A1211" s="9"/>
      <c r="B1211" s="8"/>
      <c r="C1211" s="20"/>
      <c r="D1211" s="8"/>
      <c r="E1211" s="8"/>
    </row>
    <row r="1212" spans="1:5" x14ac:dyDescent="0.3">
      <c r="A1212" s="9"/>
      <c r="B1212" s="8"/>
      <c r="C1212" s="20"/>
      <c r="D1212" s="8"/>
      <c r="E1212" s="8"/>
    </row>
    <row r="1213" spans="1:5" x14ac:dyDescent="0.3">
      <c r="A1213" s="9"/>
      <c r="B1213" s="8"/>
      <c r="C1213" s="20"/>
      <c r="D1213" s="8"/>
      <c r="E1213" s="8"/>
    </row>
    <row r="1214" spans="1:5" x14ac:dyDescent="0.3">
      <c r="A1214" s="9"/>
      <c r="B1214" s="8"/>
      <c r="C1214" s="20"/>
      <c r="D1214" s="8"/>
      <c r="E1214" s="8"/>
    </row>
    <row r="1215" spans="1:5" x14ac:dyDescent="0.3">
      <c r="A1215" s="9"/>
      <c r="B1215" s="8"/>
      <c r="C1215" s="20"/>
      <c r="D1215" s="8"/>
      <c r="E1215" s="8"/>
    </row>
    <row r="1216" spans="1:5" x14ac:dyDescent="0.3">
      <c r="A1216" s="9"/>
      <c r="B1216" s="8"/>
      <c r="C1216" s="20"/>
      <c r="D1216" s="8"/>
      <c r="E1216" s="8"/>
    </row>
    <row r="1217" spans="1:5" x14ac:dyDescent="0.3">
      <c r="A1217" s="9"/>
      <c r="B1217" s="8"/>
      <c r="C1217" s="20"/>
      <c r="D1217" s="8"/>
      <c r="E1217" s="8"/>
    </row>
    <row r="1218" spans="1:5" x14ac:dyDescent="0.3">
      <c r="A1218" s="9"/>
      <c r="B1218" s="8"/>
      <c r="C1218" s="20"/>
      <c r="D1218" s="8"/>
      <c r="E1218" s="8"/>
    </row>
    <row r="1219" spans="1:5" x14ac:dyDescent="0.3">
      <c r="A1219" s="9"/>
      <c r="B1219" s="8"/>
      <c r="C1219" s="20"/>
      <c r="D1219" s="8"/>
      <c r="E1219" s="8"/>
    </row>
    <row r="1220" spans="1:5" x14ac:dyDescent="0.3">
      <c r="A1220" s="9"/>
      <c r="B1220" s="8"/>
      <c r="C1220" s="20"/>
      <c r="D1220" s="8"/>
      <c r="E1220" s="8"/>
    </row>
    <row r="1221" spans="1:5" x14ac:dyDescent="0.3">
      <c r="A1221" s="9"/>
      <c r="B1221" s="8"/>
      <c r="C1221" s="20"/>
      <c r="D1221" s="8"/>
      <c r="E1221" s="8"/>
    </row>
    <row r="1222" spans="1:5" x14ac:dyDescent="0.3">
      <c r="A1222" s="9"/>
      <c r="B1222" s="8"/>
      <c r="C1222" s="20"/>
      <c r="D1222" s="8"/>
      <c r="E1222" s="8"/>
    </row>
    <row r="1223" spans="1:5" x14ac:dyDescent="0.3">
      <c r="A1223" s="9"/>
      <c r="B1223" s="8"/>
      <c r="C1223" s="20"/>
      <c r="D1223" s="8"/>
      <c r="E1223" s="8"/>
    </row>
    <row r="1224" spans="1:5" x14ac:dyDescent="0.3">
      <c r="A1224" s="9"/>
      <c r="B1224" s="8"/>
      <c r="C1224" s="20"/>
      <c r="D1224" s="8"/>
      <c r="E1224" s="8"/>
    </row>
    <row r="1225" spans="1:5" x14ac:dyDescent="0.3">
      <c r="A1225" s="9"/>
      <c r="B1225" s="8"/>
      <c r="C1225" s="20"/>
      <c r="D1225" s="8"/>
      <c r="E1225" s="8"/>
    </row>
    <row r="1226" spans="1:5" x14ac:dyDescent="0.3">
      <c r="A1226" s="9"/>
      <c r="B1226" s="8"/>
      <c r="C1226" s="20"/>
      <c r="D1226" s="8"/>
      <c r="E1226" s="8"/>
    </row>
    <row r="1227" spans="1:5" x14ac:dyDescent="0.3">
      <c r="A1227" s="9"/>
      <c r="B1227" s="8"/>
      <c r="C1227" s="20"/>
      <c r="D1227" s="8"/>
      <c r="E1227" s="8"/>
    </row>
    <row r="1228" spans="1:5" x14ac:dyDescent="0.3">
      <c r="A1228" s="9"/>
      <c r="B1228" s="8"/>
      <c r="C1228" s="20"/>
      <c r="D1228" s="8"/>
      <c r="E1228" s="8"/>
    </row>
    <row r="1229" spans="1:5" x14ac:dyDescent="0.3">
      <c r="A1229" s="9"/>
      <c r="B1229" s="8"/>
      <c r="C1229" s="20"/>
      <c r="D1229" s="8"/>
      <c r="E1229" s="8"/>
    </row>
    <row r="1230" spans="1:5" x14ac:dyDescent="0.3">
      <c r="A1230" s="9"/>
      <c r="B1230" s="8"/>
      <c r="C1230" s="20"/>
      <c r="D1230" s="8"/>
      <c r="E1230" s="8"/>
    </row>
    <row r="1231" spans="1:5" x14ac:dyDescent="0.3">
      <c r="A1231" s="9"/>
      <c r="B1231" s="8"/>
      <c r="C1231" s="20"/>
      <c r="D1231" s="8"/>
      <c r="E1231" s="8"/>
    </row>
    <row r="1232" spans="1:5" x14ac:dyDescent="0.3">
      <c r="A1232" s="9"/>
      <c r="B1232" s="8"/>
      <c r="C1232" s="20"/>
      <c r="D1232" s="8"/>
      <c r="E1232" s="8"/>
    </row>
    <row r="1233" spans="1:5" x14ac:dyDescent="0.3">
      <c r="A1233" s="9"/>
      <c r="B1233" s="8"/>
      <c r="C1233" s="20"/>
      <c r="D1233" s="8"/>
      <c r="E1233" s="8"/>
    </row>
    <row r="1234" spans="1:5" x14ac:dyDescent="0.3">
      <c r="A1234" s="9"/>
      <c r="B1234" s="8"/>
      <c r="C1234" s="20"/>
      <c r="D1234" s="8"/>
      <c r="E1234" s="8"/>
    </row>
    <row r="1235" spans="1:5" x14ac:dyDescent="0.3">
      <c r="A1235" s="9"/>
      <c r="B1235" s="8"/>
      <c r="C1235" s="20"/>
      <c r="D1235" s="8"/>
      <c r="E1235" s="8"/>
    </row>
    <row r="1236" spans="1:5" x14ac:dyDescent="0.3">
      <c r="A1236" s="9"/>
      <c r="B1236" s="8"/>
      <c r="C1236" s="20"/>
      <c r="D1236" s="8"/>
      <c r="E1236" s="8"/>
    </row>
    <row r="1237" spans="1:5" x14ac:dyDescent="0.3">
      <c r="A1237" s="9"/>
      <c r="B1237" s="8"/>
      <c r="C1237" s="20"/>
      <c r="D1237" s="8"/>
      <c r="E1237" s="8"/>
    </row>
    <row r="1238" spans="1:5" x14ac:dyDescent="0.3">
      <c r="A1238" s="9"/>
      <c r="B1238" s="8"/>
      <c r="C1238" s="20"/>
      <c r="D1238" s="8"/>
      <c r="E1238" s="8"/>
    </row>
    <row r="1239" spans="1:5" x14ac:dyDescent="0.3">
      <c r="A1239" s="9"/>
      <c r="B1239" s="8"/>
      <c r="C1239" s="20"/>
      <c r="D1239" s="8"/>
      <c r="E1239" s="8"/>
    </row>
    <row r="1240" spans="1:5" x14ac:dyDescent="0.3">
      <c r="A1240" s="9"/>
      <c r="B1240" s="8"/>
      <c r="C1240" s="20"/>
      <c r="D1240" s="8"/>
      <c r="E1240" s="8"/>
    </row>
    <row r="1241" spans="1:5" x14ac:dyDescent="0.3">
      <c r="A1241" s="9"/>
      <c r="B1241" s="8"/>
      <c r="C1241" s="20"/>
      <c r="D1241" s="8"/>
      <c r="E1241" s="8"/>
    </row>
    <row r="1242" spans="1:5" x14ac:dyDescent="0.3">
      <c r="A1242" s="9"/>
      <c r="B1242" s="8"/>
      <c r="C1242" s="20"/>
      <c r="D1242" s="8"/>
      <c r="E1242" s="8"/>
    </row>
    <row r="1243" spans="1:5" x14ac:dyDescent="0.3">
      <c r="A1243" s="9"/>
      <c r="B1243" s="8"/>
      <c r="C1243" s="20"/>
      <c r="D1243" s="8"/>
      <c r="E1243" s="8"/>
    </row>
    <row r="1244" spans="1:5" x14ac:dyDescent="0.3">
      <c r="A1244" s="9"/>
      <c r="B1244" s="8"/>
      <c r="C1244" s="20"/>
      <c r="D1244" s="8"/>
      <c r="E1244" s="8"/>
    </row>
    <row r="1245" spans="1:5" x14ac:dyDescent="0.3">
      <c r="A1245" s="9"/>
      <c r="B1245" s="8"/>
      <c r="C1245" s="20"/>
      <c r="D1245" s="8"/>
      <c r="E1245" s="8"/>
    </row>
    <row r="1246" spans="1:5" x14ac:dyDescent="0.3">
      <c r="A1246" s="9"/>
      <c r="B1246" s="8"/>
      <c r="C1246" s="20"/>
      <c r="D1246" s="8"/>
      <c r="E1246" s="8"/>
    </row>
    <row r="1247" spans="1:5" x14ac:dyDescent="0.3">
      <c r="A1247" s="9"/>
      <c r="B1247" s="8"/>
      <c r="C1247" s="20"/>
      <c r="D1247" s="8"/>
      <c r="E1247" s="8"/>
    </row>
    <row r="1248" spans="1:5" x14ac:dyDescent="0.3">
      <c r="A1248" s="9"/>
      <c r="B1248" s="8"/>
      <c r="C1248" s="20"/>
      <c r="D1248" s="8"/>
      <c r="E1248" s="8"/>
    </row>
    <row r="1249" spans="1:5" x14ac:dyDescent="0.3">
      <c r="A1249" s="9"/>
      <c r="B1249" s="8"/>
      <c r="C1249" s="20"/>
      <c r="D1249" s="8"/>
      <c r="E1249" s="8"/>
    </row>
    <row r="1250" spans="1:5" x14ac:dyDescent="0.3">
      <c r="A1250" s="9"/>
      <c r="B1250" s="8"/>
      <c r="C1250" s="20"/>
      <c r="D1250" s="8"/>
      <c r="E1250" s="8"/>
    </row>
    <row r="1251" spans="1:5" x14ac:dyDescent="0.3">
      <c r="A1251" s="9"/>
      <c r="B1251" s="8"/>
      <c r="C1251" s="20"/>
      <c r="D1251" s="8"/>
      <c r="E1251" s="8"/>
    </row>
    <row r="1252" spans="1:5" x14ac:dyDescent="0.3">
      <c r="A1252" s="9"/>
      <c r="B1252" s="8"/>
      <c r="C1252" s="20"/>
      <c r="D1252" s="8"/>
      <c r="E1252" s="8"/>
    </row>
    <row r="1253" spans="1:5" x14ac:dyDescent="0.3">
      <c r="A1253" s="9"/>
      <c r="B1253" s="8"/>
      <c r="C1253" s="20"/>
      <c r="D1253" s="8"/>
      <c r="E1253" s="8"/>
    </row>
    <row r="1254" spans="1:5" x14ac:dyDescent="0.3">
      <c r="A1254" s="9"/>
      <c r="B1254" s="8"/>
      <c r="C1254" s="20"/>
      <c r="D1254" s="8"/>
      <c r="E1254" s="8"/>
    </row>
    <row r="1255" spans="1:5" x14ac:dyDescent="0.3">
      <c r="A1255" s="9"/>
      <c r="B1255" s="8"/>
      <c r="C1255" s="20"/>
      <c r="D1255" s="8"/>
      <c r="E1255" s="8"/>
    </row>
    <row r="1256" spans="1:5" x14ac:dyDescent="0.3">
      <c r="A1256" s="9"/>
      <c r="B1256" s="8"/>
      <c r="C1256" s="20"/>
      <c r="D1256" s="8"/>
      <c r="E1256" s="8"/>
    </row>
    <row r="1257" spans="1:5" x14ac:dyDescent="0.3">
      <c r="A1257" s="9"/>
      <c r="B1257" s="8"/>
      <c r="C1257" s="20"/>
      <c r="D1257" s="8"/>
      <c r="E1257" s="8"/>
    </row>
    <row r="1258" spans="1:5" x14ac:dyDescent="0.3">
      <c r="A1258" s="9"/>
      <c r="B1258" s="8"/>
      <c r="C1258" s="20"/>
      <c r="D1258" s="8"/>
      <c r="E1258" s="8"/>
    </row>
    <row r="1259" spans="1:5" x14ac:dyDescent="0.3">
      <c r="A1259" s="9"/>
      <c r="B1259" s="8"/>
      <c r="C1259" s="20"/>
      <c r="D1259" s="8"/>
      <c r="E1259" s="8"/>
    </row>
    <row r="1260" spans="1:5" x14ac:dyDescent="0.3">
      <c r="A1260" s="9"/>
      <c r="B1260" s="8"/>
      <c r="C1260" s="20"/>
      <c r="D1260" s="8"/>
      <c r="E1260" s="8"/>
    </row>
    <row r="1261" spans="1:5" x14ac:dyDescent="0.3">
      <c r="A1261" s="9"/>
      <c r="B1261" s="8"/>
      <c r="C1261" s="20"/>
      <c r="D1261" s="8"/>
      <c r="E1261" s="8"/>
    </row>
    <row r="1262" spans="1:5" x14ac:dyDescent="0.3">
      <c r="A1262" s="9"/>
      <c r="B1262" s="8"/>
      <c r="C1262" s="20"/>
      <c r="D1262" s="8"/>
      <c r="E1262" s="8"/>
    </row>
    <row r="1263" spans="1:5" x14ac:dyDescent="0.3">
      <c r="A1263" s="9"/>
      <c r="B1263" s="8"/>
      <c r="C1263" s="20"/>
      <c r="D1263" s="8"/>
      <c r="E1263" s="8"/>
    </row>
    <row r="1264" spans="1:5" x14ac:dyDescent="0.3">
      <c r="A1264" s="9"/>
      <c r="B1264" s="8"/>
      <c r="C1264" s="20"/>
      <c r="D1264" s="8"/>
      <c r="E1264" s="8"/>
    </row>
    <row r="1265" spans="1:5" x14ac:dyDescent="0.3">
      <c r="A1265" s="9"/>
      <c r="B1265" s="8"/>
      <c r="C1265" s="20"/>
      <c r="D1265" s="8"/>
      <c r="E1265" s="8"/>
    </row>
    <row r="1266" spans="1:5" x14ac:dyDescent="0.3">
      <c r="A1266" s="9"/>
      <c r="B1266" s="8"/>
      <c r="C1266" s="20"/>
      <c r="D1266" s="8"/>
      <c r="E1266" s="8"/>
    </row>
    <row r="1267" spans="1:5" x14ac:dyDescent="0.3">
      <c r="A1267" s="9"/>
      <c r="B1267" s="8"/>
      <c r="C1267" s="20"/>
      <c r="D1267" s="8"/>
      <c r="E1267" s="8"/>
    </row>
    <row r="1268" spans="1:5" x14ac:dyDescent="0.3">
      <c r="A1268" s="9"/>
      <c r="B1268" s="8"/>
      <c r="C1268" s="20"/>
      <c r="D1268" s="8"/>
      <c r="E1268" s="8"/>
    </row>
    <row r="1269" spans="1:5" x14ac:dyDescent="0.3">
      <c r="A1269" s="9"/>
      <c r="B1269" s="8"/>
      <c r="C1269" s="20"/>
      <c r="D1269" s="8"/>
      <c r="E1269" s="8"/>
    </row>
    <row r="1270" spans="1:5" x14ac:dyDescent="0.3">
      <c r="A1270" s="9"/>
      <c r="B1270" s="8"/>
      <c r="C1270" s="20"/>
      <c r="D1270" s="8"/>
      <c r="E1270" s="8"/>
    </row>
    <row r="1271" spans="1:5" x14ac:dyDescent="0.3">
      <c r="A1271" s="9"/>
      <c r="B1271" s="8"/>
      <c r="C1271" s="20"/>
      <c r="D1271" s="8"/>
      <c r="E1271" s="8"/>
    </row>
    <row r="1272" spans="1:5" x14ac:dyDescent="0.3">
      <c r="A1272" s="9"/>
      <c r="B1272" s="8"/>
      <c r="C1272" s="20"/>
      <c r="D1272" s="8"/>
      <c r="E1272" s="8"/>
    </row>
    <row r="1273" spans="1:5" x14ac:dyDescent="0.3">
      <c r="A1273" s="9"/>
      <c r="B1273" s="8"/>
      <c r="C1273" s="20"/>
      <c r="D1273" s="8"/>
      <c r="E1273" s="8"/>
    </row>
    <row r="1274" spans="1:5" x14ac:dyDescent="0.3">
      <c r="A1274" s="9"/>
      <c r="B1274" s="8"/>
      <c r="C1274" s="20"/>
      <c r="D1274" s="8"/>
      <c r="E1274" s="8"/>
    </row>
    <row r="1275" spans="1:5" x14ac:dyDescent="0.3">
      <c r="A1275" s="9"/>
      <c r="B1275" s="8"/>
      <c r="C1275" s="20"/>
      <c r="D1275" s="8"/>
      <c r="E1275" s="8"/>
    </row>
    <row r="1276" spans="1:5" x14ac:dyDescent="0.3">
      <c r="A1276" s="9"/>
      <c r="B1276" s="8"/>
      <c r="C1276" s="20"/>
      <c r="D1276" s="8"/>
      <c r="E1276" s="8"/>
    </row>
    <row r="1277" spans="1:5" x14ac:dyDescent="0.3">
      <c r="A1277" s="9"/>
      <c r="B1277" s="8"/>
      <c r="C1277" s="20"/>
      <c r="D1277" s="8"/>
      <c r="E1277" s="8"/>
    </row>
    <row r="1278" spans="1:5" x14ac:dyDescent="0.3">
      <c r="A1278" s="9"/>
      <c r="B1278" s="8"/>
      <c r="C1278" s="20"/>
      <c r="D1278" s="8"/>
      <c r="E1278" s="8"/>
    </row>
    <row r="1279" spans="1:5" x14ac:dyDescent="0.3">
      <c r="A1279" s="9"/>
      <c r="B1279" s="8"/>
      <c r="C1279" s="20"/>
      <c r="D1279" s="8"/>
      <c r="E1279" s="8"/>
    </row>
    <row r="1280" spans="1:5" x14ac:dyDescent="0.3">
      <c r="A1280" s="9"/>
      <c r="B1280" s="8"/>
      <c r="C1280" s="20"/>
      <c r="D1280" s="8"/>
      <c r="E1280" s="8"/>
    </row>
    <row r="1281" spans="1:5" x14ac:dyDescent="0.3">
      <c r="A1281" s="9"/>
      <c r="B1281" s="8"/>
      <c r="C1281" s="20"/>
      <c r="D1281" s="8"/>
      <c r="E1281" s="8"/>
    </row>
    <row r="1282" spans="1:5" x14ac:dyDescent="0.3">
      <c r="A1282" s="9"/>
      <c r="B1282" s="8"/>
      <c r="C1282" s="20"/>
      <c r="D1282" s="8"/>
      <c r="E1282" s="8"/>
    </row>
    <row r="1283" spans="1:5" x14ac:dyDescent="0.3">
      <c r="A1283" s="9"/>
      <c r="B1283" s="8"/>
      <c r="C1283" s="20"/>
      <c r="D1283" s="8"/>
      <c r="E1283" s="8"/>
    </row>
    <row r="1284" spans="1:5" x14ac:dyDescent="0.3">
      <c r="A1284" s="9"/>
      <c r="B1284" s="8"/>
      <c r="C1284" s="20"/>
      <c r="D1284" s="8"/>
      <c r="E1284" s="8"/>
    </row>
    <row r="1285" spans="1:5" x14ac:dyDescent="0.3">
      <c r="A1285" s="9"/>
      <c r="B1285" s="8"/>
      <c r="C1285" s="20"/>
      <c r="D1285" s="8"/>
      <c r="E1285" s="8"/>
    </row>
    <row r="1286" spans="1:5" x14ac:dyDescent="0.3">
      <c r="A1286" s="9"/>
      <c r="B1286" s="8"/>
      <c r="C1286" s="20"/>
      <c r="D1286" s="8"/>
      <c r="E1286" s="8"/>
    </row>
    <row r="1287" spans="1:5" x14ac:dyDescent="0.3">
      <c r="A1287" s="9"/>
      <c r="B1287" s="8"/>
      <c r="C1287" s="20"/>
      <c r="D1287" s="8"/>
      <c r="E1287" s="8"/>
    </row>
    <row r="1288" spans="1:5" x14ac:dyDescent="0.3">
      <c r="A1288" s="9"/>
      <c r="B1288" s="8"/>
      <c r="C1288" s="20"/>
      <c r="D1288" s="8"/>
      <c r="E1288" s="8"/>
    </row>
    <row r="1289" spans="1:5" x14ac:dyDescent="0.3">
      <c r="A1289" s="9"/>
      <c r="B1289" s="8"/>
      <c r="C1289" s="20"/>
      <c r="D1289" s="8"/>
      <c r="E1289" s="8"/>
    </row>
    <row r="1290" spans="1:5" x14ac:dyDescent="0.3">
      <c r="A1290" s="9"/>
      <c r="B1290" s="8"/>
      <c r="C1290" s="20"/>
      <c r="D1290" s="8"/>
      <c r="E1290" s="8"/>
    </row>
    <row r="1291" spans="1:5" x14ac:dyDescent="0.3">
      <c r="A1291" s="9"/>
      <c r="B1291" s="8"/>
      <c r="C1291" s="20"/>
      <c r="D1291" s="8"/>
      <c r="E1291" s="8"/>
    </row>
    <row r="1292" spans="1:5" x14ac:dyDescent="0.3">
      <c r="A1292" s="9"/>
      <c r="B1292" s="8"/>
      <c r="C1292" s="20"/>
      <c r="D1292" s="8"/>
      <c r="E1292" s="8"/>
    </row>
    <row r="1293" spans="1:5" x14ac:dyDescent="0.3">
      <c r="A1293" s="9"/>
      <c r="B1293" s="8"/>
      <c r="C1293" s="20"/>
      <c r="D1293" s="8"/>
      <c r="E1293" s="8"/>
    </row>
    <row r="1294" spans="1:5" x14ac:dyDescent="0.3">
      <c r="A1294" s="9"/>
      <c r="B1294" s="8"/>
      <c r="C1294" s="20"/>
      <c r="D1294" s="8"/>
      <c r="E1294" s="8"/>
    </row>
    <row r="1295" spans="1:5" x14ac:dyDescent="0.3">
      <c r="A1295" s="9"/>
      <c r="B1295" s="8"/>
      <c r="C1295" s="20"/>
      <c r="D1295" s="8"/>
      <c r="E1295" s="8"/>
    </row>
    <row r="1296" spans="1:5" x14ac:dyDescent="0.3">
      <c r="A1296" s="9"/>
      <c r="B1296" s="8"/>
      <c r="C1296" s="20"/>
      <c r="D1296" s="8"/>
      <c r="E1296" s="8"/>
    </row>
    <row r="1297" spans="1:5" x14ac:dyDescent="0.3">
      <c r="A1297" s="9"/>
      <c r="B1297" s="8"/>
      <c r="C1297" s="20"/>
      <c r="D1297" s="8"/>
      <c r="E1297" s="8"/>
    </row>
    <row r="1298" spans="1:5" x14ac:dyDescent="0.3">
      <c r="A1298" s="9"/>
      <c r="B1298" s="8"/>
      <c r="C1298" s="20"/>
      <c r="D1298" s="8"/>
      <c r="E1298" s="8"/>
    </row>
    <row r="1299" spans="1:5" x14ac:dyDescent="0.3">
      <c r="A1299" s="9"/>
      <c r="B1299" s="8"/>
      <c r="C1299" s="20"/>
      <c r="D1299" s="8"/>
      <c r="E1299" s="8"/>
    </row>
    <row r="1300" spans="1:5" x14ac:dyDescent="0.3">
      <c r="A1300" s="9"/>
      <c r="B1300" s="8"/>
      <c r="C1300" s="20"/>
      <c r="D1300" s="8"/>
      <c r="E1300" s="8"/>
    </row>
    <row r="1301" spans="1:5" x14ac:dyDescent="0.3">
      <c r="A1301" s="9"/>
      <c r="B1301" s="8"/>
      <c r="C1301" s="20"/>
      <c r="D1301" s="8"/>
      <c r="E1301" s="8"/>
    </row>
    <row r="1302" spans="1:5" x14ac:dyDescent="0.3">
      <c r="A1302" s="9"/>
      <c r="B1302" s="8"/>
      <c r="C1302" s="20"/>
      <c r="D1302" s="8"/>
      <c r="E1302" s="8"/>
    </row>
    <row r="1303" spans="1:5" x14ac:dyDescent="0.3">
      <c r="A1303" s="9"/>
      <c r="B1303" s="8"/>
      <c r="C1303" s="20"/>
      <c r="D1303" s="8"/>
      <c r="E1303" s="8"/>
    </row>
    <row r="1304" spans="1:5" x14ac:dyDescent="0.3">
      <c r="A1304" s="9"/>
      <c r="B1304" s="8"/>
      <c r="C1304" s="20"/>
      <c r="D1304" s="8"/>
      <c r="E1304" s="8"/>
    </row>
    <row r="1305" spans="1:5" x14ac:dyDescent="0.3">
      <c r="A1305" s="9"/>
      <c r="B1305" s="8"/>
      <c r="C1305" s="20"/>
      <c r="D1305" s="8"/>
      <c r="E1305" s="8"/>
    </row>
    <row r="1306" spans="1:5" x14ac:dyDescent="0.3">
      <c r="A1306" s="9"/>
      <c r="B1306" s="8"/>
      <c r="C1306" s="20"/>
      <c r="D1306" s="8"/>
      <c r="E1306" s="8"/>
    </row>
    <row r="1307" spans="1:5" x14ac:dyDescent="0.3">
      <c r="A1307" s="9"/>
      <c r="B1307" s="8"/>
      <c r="C1307" s="20"/>
      <c r="D1307" s="8"/>
      <c r="E1307" s="8"/>
    </row>
    <row r="1308" spans="1:5" x14ac:dyDescent="0.3">
      <c r="A1308" s="9"/>
      <c r="B1308" s="8"/>
      <c r="C1308" s="20"/>
      <c r="D1308" s="8"/>
      <c r="E1308" s="8"/>
    </row>
    <row r="1309" spans="1:5" x14ac:dyDescent="0.3">
      <c r="A1309" s="9"/>
      <c r="B1309" s="8"/>
      <c r="C1309" s="20"/>
      <c r="D1309" s="8"/>
      <c r="E1309" s="8"/>
    </row>
    <row r="1310" spans="1:5" x14ac:dyDescent="0.3">
      <c r="A1310" s="9"/>
      <c r="B1310" s="8"/>
      <c r="C1310" s="20"/>
      <c r="D1310" s="8"/>
      <c r="E1310" s="8"/>
    </row>
    <row r="1311" spans="1:5" x14ac:dyDescent="0.3">
      <c r="A1311" s="9"/>
      <c r="B1311" s="8"/>
      <c r="C1311" s="20"/>
      <c r="D1311" s="8"/>
      <c r="E1311" s="8"/>
    </row>
    <row r="1312" spans="1:5" x14ac:dyDescent="0.3">
      <c r="A1312" s="9"/>
      <c r="B1312" s="8"/>
      <c r="C1312" s="20"/>
      <c r="D1312" s="8"/>
      <c r="E1312" s="8"/>
    </row>
    <row r="1313" spans="1:5" x14ac:dyDescent="0.3">
      <c r="A1313" s="9"/>
      <c r="B1313" s="8"/>
      <c r="C1313" s="20"/>
      <c r="D1313" s="8"/>
      <c r="E1313" s="8"/>
    </row>
    <row r="1314" spans="1:5" x14ac:dyDescent="0.3">
      <c r="A1314" s="9"/>
      <c r="B1314" s="8"/>
      <c r="C1314" s="20"/>
      <c r="D1314" s="8"/>
      <c r="E1314" s="8"/>
    </row>
    <row r="1315" spans="1:5" x14ac:dyDescent="0.3">
      <c r="A1315" s="9"/>
      <c r="B1315" s="8"/>
      <c r="C1315" s="20"/>
      <c r="D1315" s="8"/>
      <c r="E1315" s="8"/>
    </row>
    <row r="1316" spans="1:5" x14ac:dyDescent="0.3">
      <c r="A1316" s="9"/>
      <c r="B1316" s="8"/>
      <c r="C1316" s="20"/>
      <c r="D1316" s="8"/>
      <c r="E1316" s="8"/>
    </row>
    <row r="1317" spans="1:5" x14ac:dyDescent="0.3">
      <c r="A1317" s="9"/>
      <c r="B1317" s="8"/>
      <c r="C1317" s="20"/>
      <c r="D1317" s="8"/>
      <c r="E1317" s="8"/>
    </row>
    <row r="1318" spans="1:5" x14ac:dyDescent="0.3">
      <c r="A1318" s="9"/>
      <c r="B1318" s="8"/>
      <c r="C1318" s="20"/>
      <c r="D1318" s="8"/>
      <c r="E1318" s="8"/>
    </row>
    <row r="1319" spans="1:5" x14ac:dyDescent="0.3">
      <c r="A1319" s="9"/>
      <c r="B1319" s="8"/>
      <c r="C1319" s="20"/>
      <c r="D1319" s="8"/>
      <c r="E1319" s="8"/>
    </row>
    <row r="1320" spans="1:5" x14ac:dyDescent="0.3">
      <c r="A1320" s="9"/>
      <c r="B1320" s="8"/>
      <c r="C1320" s="20"/>
      <c r="D1320" s="8"/>
      <c r="E1320" s="8"/>
    </row>
    <row r="1321" spans="1:5" x14ac:dyDescent="0.3">
      <c r="A1321" s="9"/>
      <c r="B1321" s="8"/>
      <c r="C1321" s="20"/>
      <c r="D1321" s="8"/>
      <c r="E1321" s="8"/>
    </row>
    <row r="1322" spans="1:5" x14ac:dyDescent="0.3">
      <c r="A1322" s="9"/>
      <c r="B1322" s="8"/>
      <c r="C1322" s="20"/>
      <c r="D1322" s="8"/>
      <c r="E1322" s="8"/>
    </row>
    <row r="1323" spans="1:5" x14ac:dyDescent="0.3">
      <c r="A1323" s="9"/>
      <c r="B1323" s="8"/>
      <c r="C1323" s="20"/>
      <c r="D1323" s="8"/>
      <c r="E1323" s="8"/>
    </row>
    <row r="1324" spans="1:5" x14ac:dyDescent="0.3">
      <c r="A1324" s="9"/>
      <c r="B1324" s="8"/>
      <c r="C1324" s="20"/>
      <c r="D1324" s="8"/>
      <c r="E1324" s="8"/>
    </row>
    <row r="1325" spans="1:5" x14ac:dyDescent="0.3">
      <c r="A1325" s="9"/>
      <c r="B1325" s="8"/>
      <c r="C1325" s="20"/>
      <c r="D1325" s="8"/>
      <c r="E1325" s="8"/>
    </row>
    <row r="1326" spans="1:5" x14ac:dyDescent="0.3">
      <c r="A1326" s="9"/>
      <c r="B1326" s="8"/>
      <c r="C1326" s="20"/>
      <c r="D1326" s="8"/>
      <c r="E1326" s="8"/>
    </row>
    <row r="1327" spans="1:5" x14ac:dyDescent="0.3">
      <c r="A1327" s="9"/>
      <c r="B1327" s="8"/>
      <c r="C1327" s="20"/>
      <c r="D1327" s="8"/>
      <c r="E1327" s="8"/>
    </row>
    <row r="1328" spans="1:5" x14ac:dyDescent="0.3">
      <c r="A1328" s="9"/>
      <c r="B1328" s="8"/>
      <c r="C1328" s="20"/>
      <c r="D1328" s="8"/>
      <c r="E1328" s="8"/>
    </row>
    <row r="1329" spans="1:5" x14ac:dyDescent="0.3">
      <c r="A1329" s="9"/>
      <c r="B1329" s="8"/>
      <c r="C1329" s="20"/>
      <c r="D1329" s="8"/>
      <c r="E1329" s="8"/>
    </row>
    <row r="1330" spans="1:5" x14ac:dyDescent="0.3">
      <c r="A1330" s="9"/>
      <c r="B1330" s="8"/>
      <c r="C1330" s="20"/>
      <c r="D1330" s="8"/>
      <c r="E1330" s="8"/>
    </row>
    <row r="1331" spans="1:5" x14ac:dyDescent="0.3">
      <c r="A1331" s="9"/>
      <c r="B1331" s="8"/>
      <c r="C1331" s="20"/>
      <c r="D1331" s="8"/>
      <c r="E1331" s="8"/>
    </row>
    <row r="1332" spans="1:5" x14ac:dyDescent="0.3">
      <c r="A1332" s="9"/>
      <c r="B1332" s="8"/>
      <c r="C1332" s="20"/>
      <c r="D1332" s="8"/>
      <c r="E1332" s="8"/>
    </row>
    <row r="1333" spans="1:5" x14ac:dyDescent="0.3">
      <c r="A1333" s="9"/>
      <c r="B1333" s="8"/>
      <c r="C1333" s="20"/>
      <c r="D1333" s="8"/>
      <c r="E1333" s="8"/>
    </row>
    <row r="1334" spans="1:5" x14ac:dyDescent="0.3">
      <c r="A1334" s="9"/>
      <c r="B1334" s="8"/>
      <c r="C1334" s="20"/>
      <c r="D1334" s="8"/>
      <c r="E1334" s="8"/>
    </row>
    <row r="1335" spans="1:5" x14ac:dyDescent="0.3">
      <c r="A1335" s="9"/>
      <c r="B1335" s="8"/>
      <c r="C1335" s="20"/>
      <c r="D1335" s="8"/>
      <c r="E1335" s="8"/>
    </row>
    <row r="1336" spans="1:5" x14ac:dyDescent="0.3">
      <c r="A1336" s="9"/>
      <c r="B1336" s="8"/>
      <c r="C1336" s="20"/>
      <c r="D1336" s="8"/>
      <c r="E1336" s="8"/>
    </row>
    <row r="1337" spans="1:5" x14ac:dyDescent="0.3">
      <c r="A1337" s="9"/>
      <c r="B1337" s="8"/>
      <c r="C1337" s="20"/>
      <c r="D1337" s="8"/>
      <c r="E1337" s="8"/>
    </row>
    <row r="1338" spans="1:5" x14ac:dyDescent="0.3">
      <c r="A1338" s="9"/>
      <c r="B1338" s="8"/>
      <c r="C1338" s="20"/>
      <c r="D1338" s="8"/>
      <c r="E1338" s="8"/>
    </row>
    <row r="1339" spans="1:5" x14ac:dyDescent="0.3">
      <c r="A1339" s="9"/>
      <c r="B1339" s="8"/>
      <c r="C1339" s="20"/>
      <c r="D1339" s="8"/>
      <c r="E1339" s="8"/>
    </row>
    <row r="1340" spans="1:5" x14ac:dyDescent="0.3">
      <c r="A1340" s="9"/>
      <c r="B1340" s="8"/>
      <c r="C1340" s="20"/>
      <c r="D1340" s="8"/>
      <c r="E1340" s="8"/>
    </row>
    <row r="1341" spans="1:5" x14ac:dyDescent="0.3">
      <c r="A1341" s="9"/>
      <c r="B1341" s="8"/>
      <c r="C1341" s="20"/>
      <c r="D1341" s="8"/>
      <c r="E1341" s="8"/>
    </row>
    <row r="1342" spans="1:5" x14ac:dyDescent="0.3">
      <c r="A1342" s="9"/>
      <c r="B1342" s="8"/>
      <c r="C1342" s="20"/>
      <c r="D1342" s="8"/>
      <c r="E1342" s="8"/>
    </row>
    <row r="1343" spans="1:5" x14ac:dyDescent="0.3">
      <c r="A1343" s="9"/>
      <c r="B1343" s="8"/>
      <c r="C1343" s="20"/>
      <c r="D1343" s="8"/>
      <c r="E1343" s="8"/>
    </row>
    <row r="1344" spans="1:5" x14ac:dyDescent="0.3">
      <c r="A1344" s="9"/>
      <c r="B1344" s="8"/>
      <c r="C1344" s="20"/>
      <c r="D1344" s="8"/>
      <c r="E1344" s="8"/>
    </row>
    <row r="1345" spans="1:5" x14ac:dyDescent="0.3">
      <c r="A1345" s="9"/>
      <c r="B1345" s="8"/>
      <c r="C1345" s="20"/>
      <c r="D1345" s="8"/>
      <c r="E1345" s="8"/>
    </row>
    <row r="1346" spans="1:5" x14ac:dyDescent="0.3">
      <c r="A1346" s="9"/>
      <c r="B1346" s="8"/>
      <c r="C1346" s="20"/>
      <c r="D1346" s="8"/>
      <c r="E1346" s="8"/>
    </row>
    <row r="1347" spans="1:5" x14ac:dyDescent="0.3">
      <c r="A1347" s="9"/>
      <c r="B1347" s="8"/>
      <c r="C1347" s="20"/>
      <c r="D1347" s="8"/>
      <c r="E1347" s="8"/>
    </row>
    <row r="1348" spans="1:5" x14ac:dyDescent="0.3">
      <c r="A1348" s="9"/>
      <c r="B1348" s="8"/>
      <c r="C1348" s="20"/>
      <c r="D1348" s="8"/>
      <c r="E1348" s="8"/>
    </row>
    <row r="1349" spans="1:5" x14ac:dyDescent="0.3">
      <c r="A1349" s="9"/>
      <c r="B1349" s="8"/>
      <c r="C1349" s="20"/>
      <c r="D1349" s="8"/>
      <c r="E1349" s="8"/>
    </row>
    <row r="1350" spans="1:5" x14ac:dyDescent="0.3">
      <c r="A1350" s="9"/>
      <c r="B1350" s="8"/>
      <c r="C1350" s="20"/>
      <c r="D1350" s="8"/>
      <c r="E1350" s="8"/>
    </row>
    <row r="1351" spans="1:5" x14ac:dyDescent="0.3">
      <c r="A1351" s="9"/>
      <c r="B1351" s="8"/>
      <c r="C1351" s="20"/>
      <c r="D1351" s="8"/>
      <c r="E1351" s="8"/>
    </row>
    <row r="1352" spans="1:5" x14ac:dyDescent="0.3">
      <c r="A1352" s="9"/>
      <c r="B1352" s="8"/>
      <c r="C1352" s="20"/>
      <c r="D1352" s="8"/>
      <c r="E1352" s="8"/>
    </row>
    <row r="1353" spans="1:5" x14ac:dyDescent="0.3">
      <c r="A1353" s="9"/>
      <c r="B1353" s="8"/>
      <c r="C1353" s="20"/>
      <c r="D1353" s="8"/>
      <c r="E1353" s="8"/>
    </row>
    <row r="1354" spans="1:5" x14ac:dyDescent="0.3">
      <c r="A1354" s="9"/>
      <c r="B1354" s="8"/>
      <c r="C1354" s="20"/>
      <c r="D1354" s="8"/>
      <c r="E1354" s="8"/>
    </row>
    <row r="1355" spans="1:5" x14ac:dyDescent="0.3">
      <c r="A1355" s="9"/>
      <c r="B1355" s="8"/>
      <c r="C1355" s="20"/>
      <c r="D1355" s="8"/>
      <c r="E1355" s="8"/>
    </row>
    <row r="1356" spans="1:5" x14ac:dyDescent="0.3">
      <c r="A1356" s="9"/>
      <c r="B1356" s="8"/>
      <c r="C1356" s="20"/>
      <c r="D1356" s="8"/>
      <c r="E1356" s="8"/>
    </row>
    <row r="1357" spans="1:5" x14ac:dyDescent="0.3">
      <c r="A1357" s="9"/>
      <c r="B1357" s="8"/>
      <c r="C1357" s="20"/>
      <c r="D1357" s="8"/>
      <c r="E1357" s="8"/>
    </row>
    <row r="1358" spans="1:5" x14ac:dyDescent="0.3">
      <c r="A1358" s="9"/>
      <c r="B1358" s="8"/>
      <c r="C1358" s="20"/>
      <c r="D1358" s="8"/>
      <c r="E1358" s="8"/>
    </row>
    <row r="1359" spans="1:5" x14ac:dyDescent="0.3">
      <c r="A1359" s="9"/>
      <c r="B1359" s="8"/>
      <c r="C1359" s="20"/>
      <c r="D1359" s="8"/>
      <c r="E1359" s="8"/>
    </row>
    <row r="1360" spans="1:5" x14ac:dyDescent="0.3">
      <c r="A1360" s="9"/>
      <c r="B1360" s="8"/>
      <c r="C1360" s="20"/>
      <c r="D1360" s="8"/>
      <c r="E1360" s="8"/>
    </row>
    <row r="1361" spans="1:5" x14ac:dyDescent="0.3">
      <c r="A1361" s="9"/>
      <c r="B1361" s="8"/>
      <c r="C1361" s="20"/>
      <c r="D1361" s="8"/>
      <c r="E1361" s="8"/>
    </row>
    <row r="1362" spans="1:5" x14ac:dyDescent="0.3">
      <c r="A1362" s="9"/>
      <c r="B1362" s="8"/>
      <c r="C1362" s="20"/>
      <c r="D1362" s="8"/>
      <c r="E1362" s="8"/>
    </row>
    <row r="1363" spans="1:5" x14ac:dyDescent="0.3">
      <c r="A1363" s="9"/>
      <c r="B1363" s="8"/>
      <c r="C1363" s="20"/>
      <c r="D1363" s="8"/>
      <c r="E1363" s="8"/>
    </row>
    <row r="1364" spans="1:5" x14ac:dyDescent="0.3">
      <c r="A1364" s="9"/>
      <c r="B1364" s="8"/>
      <c r="C1364" s="20"/>
      <c r="D1364" s="8"/>
      <c r="E1364" s="8"/>
    </row>
    <row r="1365" spans="1:5" x14ac:dyDescent="0.3">
      <c r="A1365" s="9"/>
      <c r="B1365" s="8"/>
      <c r="C1365" s="20"/>
      <c r="D1365" s="8"/>
      <c r="E1365" s="8"/>
    </row>
    <row r="1366" spans="1:5" x14ac:dyDescent="0.3">
      <c r="A1366" s="9"/>
      <c r="B1366" s="8"/>
      <c r="C1366" s="20"/>
      <c r="D1366" s="8"/>
      <c r="E1366" s="8"/>
    </row>
    <row r="1367" spans="1:5" x14ac:dyDescent="0.3">
      <c r="A1367" s="9"/>
      <c r="B1367" s="8"/>
      <c r="C1367" s="20"/>
      <c r="D1367" s="8"/>
      <c r="E1367" s="8"/>
    </row>
    <row r="1368" spans="1:5" x14ac:dyDescent="0.3">
      <c r="A1368" s="9"/>
      <c r="B1368" s="8"/>
      <c r="C1368" s="20"/>
      <c r="D1368" s="8"/>
      <c r="E1368" s="8"/>
    </row>
    <row r="1369" spans="1:5" x14ac:dyDescent="0.3">
      <c r="A1369" s="9"/>
      <c r="B1369" s="8"/>
      <c r="C1369" s="20"/>
      <c r="D1369" s="8"/>
      <c r="E1369" s="8"/>
    </row>
    <row r="1370" spans="1:5" x14ac:dyDescent="0.3">
      <c r="A1370" s="9"/>
      <c r="B1370" s="8"/>
      <c r="C1370" s="20"/>
      <c r="D1370" s="8"/>
      <c r="E1370" s="8"/>
    </row>
    <row r="1371" spans="1:5" x14ac:dyDescent="0.3">
      <c r="A1371" s="9"/>
      <c r="B1371" s="8"/>
      <c r="C1371" s="20"/>
      <c r="D1371" s="8"/>
      <c r="E1371" s="8"/>
    </row>
    <row r="1372" spans="1:5" x14ac:dyDescent="0.3">
      <c r="A1372" s="9"/>
      <c r="B1372" s="8"/>
      <c r="C1372" s="20"/>
      <c r="D1372" s="8"/>
      <c r="E1372" s="8"/>
    </row>
    <row r="1373" spans="1:5" x14ac:dyDescent="0.3">
      <c r="A1373" s="9"/>
      <c r="B1373" s="8"/>
      <c r="C1373" s="20"/>
      <c r="D1373" s="8"/>
      <c r="E1373" s="8"/>
    </row>
    <row r="1374" spans="1:5" x14ac:dyDescent="0.3">
      <c r="A1374" s="9"/>
      <c r="B1374" s="8"/>
      <c r="C1374" s="20"/>
      <c r="D1374" s="8"/>
      <c r="E1374" s="8"/>
    </row>
    <row r="1375" spans="1:5" x14ac:dyDescent="0.3">
      <c r="A1375" s="9"/>
      <c r="B1375" s="8"/>
      <c r="C1375" s="20"/>
      <c r="D1375" s="8"/>
      <c r="E1375" s="8"/>
    </row>
    <row r="1376" spans="1:5" x14ac:dyDescent="0.3">
      <c r="A1376" s="9"/>
      <c r="B1376" s="8"/>
      <c r="C1376" s="20"/>
      <c r="D1376" s="8"/>
      <c r="E1376" s="8"/>
    </row>
    <row r="1377" spans="1:5" x14ac:dyDescent="0.3">
      <c r="A1377" s="9"/>
      <c r="B1377" s="8"/>
      <c r="C1377" s="20"/>
      <c r="D1377" s="8"/>
      <c r="E1377" s="8"/>
    </row>
    <row r="1378" spans="1:5" x14ac:dyDescent="0.3">
      <c r="A1378" s="9"/>
      <c r="B1378" s="8"/>
      <c r="C1378" s="20"/>
      <c r="D1378" s="8"/>
      <c r="E1378" s="8"/>
    </row>
    <row r="1379" spans="1:5" x14ac:dyDescent="0.3">
      <c r="A1379" s="9"/>
      <c r="B1379" s="8"/>
      <c r="C1379" s="20"/>
      <c r="D1379" s="8"/>
      <c r="E1379" s="8"/>
    </row>
    <row r="1380" spans="1:5" x14ac:dyDescent="0.3">
      <c r="A1380" s="9"/>
      <c r="B1380" s="8"/>
      <c r="C1380" s="20"/>
      <c r="D1380" s="8"/>
      <c r="E1380" s="8"/>
    </row>
    <row r="1381" spans="1:5" x14ac:dyDescent="0.3">
      <c r="A1381" s="9"/>
      <c r="B1381" s="8"/>
      <c r="C1381" s="20"/>
      <c r="D1381" s="8"/>
      <c r="E1381" s="8"/>
    </row>
    <row r="1382" spans="1:5" x14ac:dyDescent="0.3">
      <c r="A1382" s="9"/>
      <c r="B1382" s="8"/>
      <c r="C1382" s="20"/>
      <c r="D1382" s="8"/>
      <c r="E1382" s="8"/>
    </row>
    <row r="1383" spans="1:5" x14ac:dyDescent="0.3">
      <c r="A1383" s="9"/>
      <c r="B1383" s="8"/>
      <c r="C1383" s="20"/>
      <c r="D1383" s="8"/>
      <c r="E1383" s="8"/>
    </row>
    <row r="1384" spans="1:5" x14ac:dyDescent="0.3">
      <c r="A1384" s="9"/>
      <c r="B1384" s="8"/>
      <c r="C1384" s="20"/>
      <c r="D1384" s="8"/>
      <c r="E1384" s="8"/>
    </row>
    <row r="1385" spans="1:5" x14ac:dyDescent="0.3">
      <c r="A1385" s="9"/>
      <c r="B1385" s="8"/>
      <c r="C1385" s="20"/>
      <c r="D1385" s="8"/>
      <c r="E1385" s="8"/>
    </row>
    <row r="1386" spans="1:5" x14ac:dyDescent="0.3">
      <c r="A1386" s="9"/>
      <c r="B1386" s="8"/>
      <c r="C1386" s="20"/>
      <c r="D1386" s="8"/>
      <c r="E1386" s="8"/>
    </row>
    <row r="1387" spans="1:5" x14ac:dyDescent="0.3">
      <c r="A1387" s="9"/>
      <c r="B1387" s="8"/>
      <c r="C1387" s="20"/>
      <c r="D1387" s="8"/>
      <c r="E1387" s="8"/>
    </row>
    <row r="1388" spans="1:5" x14ac:dyDescent="0.3">
      <c r="A1388" s="9"/>
      <c r="B1388" s="8"/>
      <c r="C1388" s="20"/>
      <c r="D1388" s="8"/>
      <c r="E1388" s="8"/>
    </row>
    <row r="1389" spans="1:5" x14ac:dyDescent="0.3">
      <c r="A1389" s="9"/>
      <c r="B1389" s="8"/>
      <c r="C1389" s="20"/>
      <c r="D1389" s="8"/>
      <c r="E1389" s="8"/>
    </row>
    <row r="1390" spans="1:5" x14ac:dyDescent="0.3">
      <c r="A1390" s="9"/>
      <c r="B1390" s="8"/>
      <c r="C1390" s="20"/>
      <c r="D1390" s="8"/>
      <c r="E1390" s="8"/>
    </row>
    <row r="1391" spans="1:5" x14ac:dyDescent="0.3">
      <c r="A1391" s="9"/>
      <c r="B1391" s="8"/>
      <c r="C1391" s="20"/>
      <c r="D1391" s="8"/>
      <c r="E1391" s="8"/>
    </row>
    <row r="1392" spans="1:5" x14ac:dyDescent="0.3">
      <c r="A1392" s="9"/>
      <c r="B1392" s="8"/>
      <c r="C1392" s="20"/>
      <c r="D1392" s="8"/>
      <c r="E1392" s="8"/>
    </row>
    <row r="1393" spans="1:5" x14ac:dyDescent="0.3">
      <c r="A1393" s="9"/>
      <c r="B1393" s="8"/>
      <c r="C1393" s="20"/>
      <c r="D1393" s="8"/>
      <c r="E1393" s="8"/>
    </row>
    <row r="1394" spans="1:5" x14ac:dyDescent="0.3">
      <c r="A1394" s="9"/>
      <c r="B1394" s="8"/>
      <c r="C1394" s="20"/>
      <c r="D1394" s="8"/>
      <c r="E1394" s="8"/>
    </row>
    <row r="1395" spans="1:5" x14ac:dyDescent="0.3">
      <c r="A1395" s="9"/>
      <c r="B1395" s="8"/>
      <c r="C1395" s="20"/>
      <c r="D1395" s="8"/>
      <c r="E1395" s="8"/>
    </row>
    <row r="1396" spans="1:5" x14ac:dyDescent="0.3">
      <c r="A1396" s="9"/>
      <c r="B1396" s="8"/>
      <c r="C1396" s="20"/>
      <c r="D1396" s="8"/>
      <c r="E1396" s="8"/>
    </row>
    <row r="1397" spans="1:5" x14ac:dyDescent="0.3">
      <c r="A1397" s="9"/>
      <c r="B1397" s="8"/>
      <c r="C1397" s="20"/>
      <c r="D1397" s="8"/>
      <c r="E1397" s="8"/>
    </row>
    <row r="1398" spans="1:5" x14ac:dyDescent="0.3">
      <c r="A1398" s="9"/>
      <c r="B1398" s="8"/>
      <c r="C1398" s="20"/>
      <c r="D1398" s="8"/>
      <c r="E1398" s="8"/>
    </row>
    <row r="1399" spans="1:5" x14ac:dyDescent="0.3">
      <c r="A1399" s="9"/>
      <c r="B1399" s="8"/>
      <c r="C1399" s="20"/>
      <c r="D1399" s="8"/>
      <c r="E1399" s="8"/>
    </row>
    <row r="1400" spans="1:5" x14ac:dyDescent="0.3">
      <c r="A1400" s="9"/>
      <c r="B1400" s="8"/>
      <c r="C1400" s="20"/>
      <c r="D1400" s="8"/>
      <c r="E1400" s="8"/>
    </row>
    <row r="1401" spans="1:5" x14ac:dyDescent="0.3">
      <c r="A1401" s="9"/>
      <c r="B1401" s="8"/>
      <c r="C1401" s="20"/>
      <c r="D1401" s="8"/>
      <c r="E1401" s="8"/>
    </row>
    <row r="1402" spans="1:5" x14ac:dyDescent="0.3">
      <c r="A1402" s="9"/>
      <c r="B1402" s="8"/>
      <c r="C1402" s="20"/>
      <c r="D1402" s="8"/>
      <c r="E1402" s="8"/>
    </row>
    <row r="1403" spans="1:5" x14ac:dyDescent="0.3">
      <c r="A1403" s="9"/>
      <c r="B1403" s="8"/>
      <c r="C1403" s="20"/>
      <c r="D1403" s="8"/>
      <c r="E1403" s="8"/>
    </row>
    <row r="1404" spans="1:5" x14ac:dyDescent="0.3">
      <c r="A1404" s="9"/>
      <c r="B1404" s="8"/>
      <c r="C1404" s="20"/>
      <c r="D1404" s="8"/>
      <c r="E1404" s="8"/>
    </row>
    <row r="1405" spans="1:5" x14ac:dyDescent="0.3">
      <c r="A1405" s="9"/>
      <c r="B1405" s="8"/>
      <c r="C1405" s="20"/>
      <c r="D1405" s="8"/>
      <c r="E1405" s="8"/>
    </row>
    <row r="1406" spans="1:5" x14ac:dyDescent="0.3">
      <c r="A1406" s="9"/>
      <c r="B1406" s="8"/>
      <c r="C1406" s="20"/>
      <c r="D1406" s="8"/>
      <c r="E1406" s="8"/>
    </row>
    <row r="1407" spans="1:5" x14ac:dyDescent="0.3">
      <c r="A1407" s="9"/>
      <c r="B1407" s="8"/>
      <c r="C1407" s="20"/>
      <c r="D1407" s="8"/>
      <c r="E1407" s="8"/>
    </row>
    <row r="1408" spans="1:5" x14ac:dyDescent="0.3">
      <c r="A1408" s="9"/>
      <c r="B1408" s="8"/>
      <c r="C1408" s="20"/>
      <c r="D1408" s="8"/>
      <c r="E1408" s="8"/>
    </row>
    <row r="1409" spans="1:5" x14ac:dyDescent="0.3">
      <c r="A1409" s="9"/>
      <c r="B1409" s="8"/>
      <c r="C1409" s="20"/>
      <c r="D1409" s="8"/>
      <c r="E1409" s="8"/>
    </row>
    <row r="1410" spans="1:5" x14ac:dyDescent="0.3">
      <c r="A1410" s="9"/>
      <c r="B1410" s="8"/>
      <c r="C1410" s="20"/>
      <c r="D1410" s="8"/>
      <c r="E1410" s="8"/>
    </row>
    <row r="1411" spans="1:5" x14ac:dyDescent="0.3">
      <c r="A1411" s="9"/>
      <c r="B1411" s="8"/>
      <c r="C1411" s="20"/>
      <c r="D1411" s="8"/>
      <c r="E1411" s="8"/>
    </row>
    <row r="1412" spans="1:5" x14ac:dyDescent="0.3">
      <c r="A1412" s="9"/>
      <c r="B1412" s="8"/>
      <c r="C1412" s="20"/>
      <c r="D1412" s="8"/>
      <c r="E1412" s="8"/>
    </row>
    <row r="1413" spans="1:5" x14ac:dyDescent="0.3">
      <c r="A1413" s="9"/>
      <c r="B1413" s="8"/>
      <c r="C1413" s="20"/>
      <c r="D1413" s="8"/>
      <c r="E1413" s="8"/>
    </row>
    <row r="1414" spans="1:5" x14ac:dyDescent="0.3">
      <c r="A1414" s="9"/>
      <c r="B1414" s="8"/>
      <c r="C1414" s="20"/>
      <c r="D1414" s="8"/>
      <c r="E1414" s="8"/>
    </row>
    <row r="1415" spans="1:5" x14ac:dyDescent="0.3">
      <c r="A1415" s="9"/>
      <c r="B1415" s="8"/>
      <c r="C1415" s="20"/>
      <c r="D1415" s="8"/>
      <c r="E1415" s="8"/>
    </row>
    <row r="1416" spans="1:5" x14ac:dyDescent="0.3">
      <c r="A1416" s="9"/>
      <c r="B1416" s="8"/>
      <c r="C1416" s="20"/>
      <c r="D1416" s="8"/>
      <c r="E1416" s="8"/>
    </row>
    <row r="1417" spans="1:5" x14ac:dyDescent="0.3">
      <c r="A1417" s="9"/>
      <c r="B1417" s="8"/>
      <c r="C1417" s="20"/>
      <c r="D1417" s="8"/>
      <c r="E1417" s="8"/>
    </row>
    <row r="1418" spans="1:5" x14ac:dyDescent="0.3">
      <c r="A1418" s="9"/>
      <c r="B1418" s="8"/>
      <c r="C1418" s="20"/>
      <c r="D1418" s="8"/>
      <c r="E1418" s="8"/>
    </row>
    <row r="1419" spans="1:5" x14ac:dyDescent="0.3">
      <c r="A1419" s="9"/>
      <c r="B1419" s="8"/>
      <c r="C1419" s="20"/>
      <c r="D1419" s="8"/>
      <c r="E1419" s="8"/>
    </row>
    <row r="1420" spans="1:5" x14ac:dyDescent="0.3">
      <c r="A1420" s="9"/>
      <c r="B1420" s="8"/>
      <c r="C1420" s="20"/>
      <c r="D1420" s="8"/>
      <c r="E1420" s="8"/>
    </row>
    <row r="1421" spans="1:5" x14ac:dyDescent="0.3">
      <c r="A1421" s="9"/>
      <c r="B1421" s="8"/>
      <c r="C1421" s="20"/>
      <c r="D1421" s="8"/>
      <c r="E1421" s="8"/>
    </row>
    <row r="1422" spans="1:5" x14ac:dyDescent="0.3">
      <c r="A1422" s="9"/>
      <c r="B1422" s="8"/>
      <c r="C1422" s="20"/>
      <c r="D1422" s="8"/>
      <c r="E1422" s="8"/>
    </row>
    <row r="1423" spans="1:5" x14ac:dyDescent="0.3">
      <c r="A1423" s="9"/>
      <c r="B1423" s="8"/>
      <c r="C1423" s="20"/>
      <c r="D1423" s="8"/>
      <c r="E1423" s="8"/>
    </row>
    <row r="1424" spans="1:5" x14ac:dyDescent="0.3">
      <c r="A1424" s="9"/>
      <c r="B1424" s="8"/>
      <c r="C1424" s="20"/>
      <c r="D1424" s="8"/>
      <c r="E1424" s="8"/>
    </row>
    <row r="1425" spans="1:5" x14ac:dyDescent="0.3">
      <c r="A1425" s="9"/>
      <c r="B1425" s="8"/>
      <c r="C1425" s="20"/>
      <c r="D1425" s="8"/>
      <c r="E1425" s="8"/>
    </row>
    <row r="1426" spans="1:5" x14ac:dyDescent="0.3">
      <c r="A1426" s="9"/>
      <c r="B1426" s="8"/>
      <c r="C1426" s="20"/>
      <c r="D1426" s="8"/>
      <c r="E1426" s="8"/>
    </row>
    <row r="1427" spans="1:5" x14ac:dyDescent="0.3">
      <c r="A1427" s="9"/>
      <c r="B1427" s="8"/>
      <c r="C1427" s="20"/>
      <c r="D1427" s="8"/>
      <c r="E1427" s="8"/>
    </row>
    <row r="1428" spans="1:5" x14ac:dyDescent="0.3">
      <c r="A1428" s="9"/>
      <c r="B1428" s="8"/>
      <c r="C1428" s="20"/>
      <c r="D1428" s="8"/>
      <c r="E1428" s="8"/>
    </row>
    <row r="1429" spans="1:5" x14ac:dyDescent="0.3">
      <c r="A1429" s="9"/>
      <c r="B1429" s="8"/>
      <c r="C1429" s="20"/>
      <c r="D1429" s="8"/>
      <c r="E1429" s="8"/>
    </row>
    <row r="1430" spans="1:5" x14ac:dyDescent="0.3">
      <c r="A1430" s="9"/>
      <c r="B1430" s="8"/>
      <c r="C1430" s="20"/>
      <c r="D1430" s="8"/>
      <c r="E1430" s="8"/>
    </row>
    <row r="1431" spans="1:5" x14ac:dyDescent="0.3">
      <c r="A1431" s="9"/>
      <c r="B1431" s="8"/>
      <c r="C1431" s="20"/>
      <c r="D1431" s="8"/>
      <c r="E1431" s="8"/>
    </row>
    <row r="1432" spans="1:5" x14ac:dyDescent="0.3">
      <c r="A1432" s="9"/>
      <c r="B1432" s="8"/>
      <c r="C1432" s="20"/>
      <c r="D1432" s="8"/>
      <c r="E1432" s="8"/>
    </row>
    <row r="1433" spans="1:5" x14ac:dyDescent="0.3">
      <c r="A1433" s="9"/>
      <c r="B1433" s="8"/>
      <c r="C1433" s="20"/>
      <c r="D1433" s="8"/>
      <c r="E1433" s="8"/>
    </row>
    <row r="1434" spans="1:5" x14ac:dyDescent="0.3">
      <c r="A1434" s="9"/>
      <c r="B1434" s="8"/>
      <c r="C1434" s="20"/>
      <c r="D1434" s="8"/>
      <c r="E1434" s="8"/>
    </row>
    <row r="1435" spans="1:5" x14ac:dyDescent="0.3">
      <c r="A1435" s="9"/>
      <c r="B1435" s="8"/>
      <c r="C1435" s="20"/>
      <c r="D1435" s="8"/>
      <c r="E1435" s="8"/>
    </row>
    <row r="1436" spans="1:5" x14ac:dyDescent="0.3">
      <c r="A1436" s="9"/>
      <c r="B1436" s="8"/>
      <c r="C1436" s="20"/>
      <c r="D1436" s="8"/>
      <c r="E1436" s="8"/>
    </row>
    <row r="1437" spans="1:5" x14ac:dyDescent="0.3">
      <c r="A1437" s="9"/>
      <c r="B1437" s="8"/>
      <c r="C1437" s="20"/>
      <c r="D1437" s="8"/>
      <c r="E1437" s="8"/>
    </row>
    <row r="1438" spans="1:5" x14ac:dyDescent="0.3">
      <c r="A1438" s="9"/>
      <c r="B1438" s="8"/>
      <c r="C1438" s="20"/>
      <c r="D1438" s="8"/>
      <c r="E1438" s="8"/>
    </row>
    <row r="1439" spans="1:5" x14ac:dyDescent="0.3">
      <c r="A1439" s="9"/>
      <c r="B1439" s="8"/>
      <c r="C1439" s="20"/>
      <c r="D1439" s="8"/>
      <c r="E1439" s="8"/>
    </row>
    <row r="1440" spans="1:5" x14ac:dyDescent="0.3">
      <c r="A1440" s="9"/>
      <c r="B1440" s="8"/>
      <c r="C1440" s="20"/>
      <c r="D1440" s="8"/>
      <c r="E1440" s="8"/>
    </row>
    <row r="1441" spans="1:5" x14ac:dyDescent="0.3">
      <c r="A1441" s="9"/>
      <c r="B1441" s="8"/>
      <c r="C1441" s="20"/>
      <c r="D1441" s="8"/>
      <c r="E1441" s="8"/>
    </row>
    <row r="1442" spans="1:5" x14ac:dyDescent="0.3">
      <c r="A1442" s="9"/>
      <c r="B1442" s="8"/>
      <c r="C1442" s="20"/>
      <c r="D1442" s="8"/>
      <c r="E1442" s="8"/>
    </row>
    <row r="1443" spans="1:5" x14ac:dyDescent="0.3">
      <c r="A1443" s="9"/>
      <c r="B1443" s="8"/>
      <c r="C1443" s="20"/>
      <c r="D1443" s="8"/>
      <c r="E1443" s="8"/>
    </row>
    <row r="1444" spans="1:5" x14ac:dyDescent="0.3">
      <c r="A1444" s="9"/>
      <c r="B1444" s="8"/>
      <c r="C1444" s="20"/>
      <c r="D1444" s="8"/>
      <c r="E1444" s="8"/>
    </row>
    <row r="1445" spans="1:5" x14ac:dyDescent="0.3">
      <c r="A1445" s="9"/>
      <c r="B1445" s="8"/>
      <c r="C1445" s="20"/>
      <c r="D1445" s="8"/>
      <c r="E1445" s="8"/>
    </row>
    <row r="1446" spans="1:5" x14ac:dyDescent="0.3">
      <c r="A1446" s="9"/>
      <c r="B1446" s="8"/>
      <c r="C1446" s="20"/>
      <c r="D1446" s="8"/>
      <c r="E1446" s="8"/>
    </row>
    <row r="1447" spans="1:5" x14ac:dyDescent="0.3">
      <c r="A1447" s="9"/>
      <c r="B1447" s="8"/>
      <c r="C1447" s="20"/>
      <c r="D1447" s="8"/>
      <c r="E1447" s="8"/>
    </row>
    <row r="1448" spans="1:5" x14ac:dyDescent="0.3">
      <c r="A1448" s="9"/>
      <c r="B1448" s="8"/>
      <c r="C1448" s="20"/>
      <c r="D1448" s="8"/>
      <c r="E1448" s="8"/>
    </row>
    <row r="1449" spans="1:5" x14ac:dyDescent="0.3">
      <c r="A1449" s="9"/>
      <c r="B1449" s="8"/>
      <c r="C1449" s="20"/>
      <c r="D1449" s="8"/>
      <c r="E1449" s="8"/>
    </row>
    <row r="1450" spans="1:5" x14ac:dyDescent="0.3">
      <c r="A1450" s="9"/>
      <c r="B1450" s="8"/>
      <c r="C1450" s="20"/>
      <c r="D1450" s="8"/>
      <c r="E1450" s="8"/>
    </row>
    <row r="1451" spans="1:5" x14ac:dyDescent="0.3">
      <c r="A1451" s="9"/>
      <c r="B1451" s="8"/>
      <c r="C1451" s="20"/>
      <c r="D1451" s="8"/>
      <c r="E1451" s="8"/>
    </row>
    <row r="1452" spans="1:5" x14ac:dyDescent="0.3">
      <c r="A1452" s="9"/>
      <c r="B1452" s="8"/>
      <c r="C1452" s="20"/>
      <c r="D1452" s="8"/>
      <c r="E1452" s="8"/>
    </row>
    <row r="1453" spans="1:5" x14ac:dyDescent="0.3">
      <c r="A1453" s="9"/>
      <c r="B1453" s="8"/>
      <c r="C1453" s="20"/>
      <c r="D1453" s="8"/>
      <c r="E1453" s="8"/>
    </row>
    <row r="1454" spans="1:5" x14ac:dyDescent="0.3">
      <c r="A1454" s="9"/>
      <c r="B1454" s="8"/>
      <c r="C1454" s="20"/>
      <c r="D1454" s="8"/>
      <c r="E1454" s="8"/>
    </row>
    <row r="1455" spans="1:5" x14ac:dyDescent="0.3">
      <c r="A1455" s="9"/>
      <c r="B1455" s="8"/>
      <c r="C1455" s="20"/>
      <c r="D1455" s="8"/>
      <c r="E1455" s="8"/>
    </row>
    <row r="1456" spans="1:5" x14ac:dyDescent="0.3">
      <c r="A1456" s="9"/>
      <c r="B1456" s="8"/>
      <c r="C1456" s="20"/>
      <c r="D1456" s="8"/>
      <c r="E1456" s="8"/>
    </row>
    <row r="1457" spans="1:5" x14ac:dyDescent="0.3">
      <c r="A1457" s="9"/>
      <c r="B1457" s="8"/>
      <c r="C1457" s="20"/>
      <c r="D1457" s="8"/>
      <c r="E1457" s="8"/>
    </row>
    <row r="1458" spans="1:5" x14ac:dyDescent="0.3">
      <c r="A1458" s="9"/>
      <c r="B1458" s="8"/>
      <c r="C1458" s="20"/>
      <c r="D1458" s="8"/>
      <c r="E1458" s="8"/>
    </row>
    <row r="1459" spans="1:5" x14ac:dyDescent="0.3">
      <c r="A1459" s="9"/>
      <c r="B1459" s="8"/>
      <c r="C1459" s="20"/>
      <c r="D1459" s="8"/>
      <c r="E1459" s="8"/>
    </row>
    <row r="1460" spans="1:5" x14ac:dyDescent="0.3">
      <c r="A1460" s="9"/>
      <c r="B1460" s="8"/>
      <c r="C1460" s="20"/>
      <c r="D1460" s="8"/>
      <c r="E1460" s="8"/>
    </row>
    <row r="1461" spans="1:5" x14ac:dyDescent="0.3">
      <c r="A1461" s="9"/>
      <c r="B1461" s="8"/>
      <c r="C1461" s="20"/>
      <c r="D1461" s="8"/>
      <c r="E1461" s="8"/>
    </row>
    <row r="1462" spans="1:5" x14ac:dyDescent="0.3">
      <c r="A1462" s="9"/>
      <c r="B1462" s="8"/>
      <c r="C1462" s="20"/>
      <c r="D1462" s="8"/>
      <c r="E1462" s="8"/>
    </row>
    <row r="1463" spans="1:5" x14ac:dyDescent="0.3">
      <c r="A1463" s="9"/>
      <c r="B1463" s="8"/>
      <c r="C1463" s="20"/>
      <c r="D1463" s="8"/>
      <c r="E1463" s="8"/>
    </row>
    <row r="1464" spans="1:5" x14ac:dyDescent="0.3">
      <c r="A1464" s="9"/>
      <c r="B1464" s="8"/>
      <c r="C1464" s="20"/>
      <c r="D1464" s="8"/>
      <c r="E1464" s="8"/>
    </row>
    <row r="1465" spans="1:5" x14ac:dyDescent="0.3">
      <c r="A1465" s="9"/>
      <c r="B1465" s="8"/>
      <c r="C1465" s="20"/>
      <c r="D1465" s="8"/>
      <c r="E1465" s="8"/>
    </row>
    <row r="1466" spans="1:5" x14ac:dyDescent="0.3">
      <c r="A1466" s="9"/>
      <c r="B1466" s="8"/>
      <c r="C1466" s="20"/>
      <c r="D1466" s="8"/>
      <c r="E1466" s="8"/>
    </row>
    <row r="1467" spans="1:5" x14ac:dyDescent="0.3">
      <c r="A1467" s="9"/>
      <c r="B1467" s="8"/>
      <c r="C1467" s="20"/>
      <c r="D1467" s="8"/>
      <c r="E1467" s="8"/>
    </row>
    <row r="1468" spans="1:5" x14ac:dyDescent="0.3">
      <c r="A1468" s="9"/>
      <c r="B1468" s="8"/>
      <c r="C1468" s="20"/>
      <c r="D1468" s="8"/>
      <c r="E1468" s="8"/>
    </row>
    <row r="1469" spans="1:5" x14ac:dyDescent="0.3">
      <c r="A1469" s="9"/>
      <c r="B1469" s="8"/>
      <c r="C1469" s="20"/>
      <c r="D1469" s="8"/>
      <c r="E1469" s="8"/>
    </row>
    <row r="1470" spans="1:5" x14ac:dyDescent="0.3">
      <c r="A1470" s="9"/>
      <c r="B1470" s="8"/>
      <c r="C1470" s="20"/>
      <c r="D1470" s="8"/>
      <c r="E1470" s="8"/>
    </row>
    <row r="1471" spans="1:5" x14ac:dyDescent="0.3">
      <c r="A1471" s="9"/>
      <c r="B1471" s="8"/>
      <c r="C1471" s="20"/>
      <c r="D1471" s="8"/>
      <c r="E1471" s="8"/>
    </row>
    <row r="1472" spans="1:5" x14ac:dyDescent="0.3">
      <c r="A1472" s="9"/>
      <c r="B1472" s="8"/>
      <c r="C1472" s="20"/>
      <c r="D1472" s="8"/>
      <c r="E1472" s="8"/>
    </row>
    <row r="1473" spans="1:5" x14ac:dyDescent="0.3">
      <c r="A1473" s="9"/>
      <c r="B1473" s="8"/>
      <c r="C1473" s="20"/>
      <c r="D1473" s="8"/>
      <c r="E1473" s="8"/>
    </row>
    <row r="1474" spans="1:5" x14ac:dyDescent="0.3">
      <c r="A1474" s="9"/>
      <c r="B1474" s="8"/>
      <c r="C1474" s="20"/>
      <c r="D1474" s="8"/>
      <c r="E1474" s="8"/>
    </row>
    <row r="1475" spans="1:5" x14ac:dyDescent="0.3">
      <c r="A1475" s="9"/>
      <c r="B1475" s="8"/>
      <c r="C1475" s="20"/>
      <c r="D1475" s="8"/>
      <c r="E1475" s="8"/>
    </row>
    <row r="1476" spans="1:5" x14ac:dyDescent="0.3">
      <c r="A1476" s="9"/>
      <c r="B1476" s="8"/>
      <c r="C1476" s="20"/>
      <c r="D1476" s="8"/>
      <c r="E1476" s="8"/>
    </row>
    <row r="1477" spans="1:5" x14ac:dyDescent="0.3">
      <c r="A1477" s="9"/>
      <c r="B1477" s="8"/>
      <c r="C1477" s="20"/>
      <c r="D1477" s="8"/>
      <c r="E1477" s="8"/>
    </row>
    <row r="1478" spans="1:5" x14ac:dyDescent="0.3">
      <c r="A1478" s="9"/>
      <c r="B1478" s="8"/>
      <c r="C1478" s="20"/>
      <c r="D1478" s="8"/>
      <c r="E1478" s="8"/>
    </row>
    <row r="1479" spans="1:5" x14ac:dyDescent="0.3">
      <c r="A1479" s="9"/>
      <c r="B1479" s="8"/>
      <c r="C1479" s="20"/>
      <c r="D1479" s="8"/>
      <c r="E1479" s="8"/>
    </row>
    <row r="1480" spans="1:5" x14ac:dyDescent="0.3">
      <c r="A1480" s="9"/>
      <c r="B1480" s="8"/>
      <c r="C1480" s="20"/>
      <c r="D1480" s="8"/>
      <c r="E1480" s="8"/>
    </row>
    <row r="1481" spans="1:5" x14ac:dyDescent="0.3">
      <c r="A1481" s="9"/>
      <c r="B1481" s="8"/>
      <c r="C1481" s="20"/>
      <c r="D1481" s="8"/>
      <c r="E1481" s="8"/>
    </row>
    <row r="1482" spans="1:5" x14ac:dyDescent="0.3">
      <c r="A1482" s="9"/>
      <c r="B1482" s="8"/>
      <c r="C1482" s="20"/>
      <c r="D1482" s="8"/>
      <c r="E1482" s="8"/>
    </row>
    <row r="1483" spans="1:5" x14ac:dyDescent="0.3">
      <c r="A1483" s="9"/>
      <c r="B1483" s="8"/>
      <c r="C1483" s="20"/>
      <c r="D1483" s="8"/>
      <c r="E1483" s="8"/>
    </row>
    <row r="1484" spans="1:5" x14ac:dyDescent="0.3">
      <c r="A1484" s="9"/>
      <c r="B1484" s="8"/>
      <c r="C1484" s="20"/>
      <c r="D1484" s="8"/>
      <c r="E1484" s="8"/>
    </row>
    <row r="1485" spans="1:5" x14ac:dyDescent="0.3">
      <c r="A1485" s="9"/>
      <c r="B1485" s="8"/>
      <c r="C1485" s="20"/>
      <c r="D1485" s="8"/>
      <c r="E1485" s="8"/>
    </row>
    <row r="1486" spans="1:5" x14ac:dyDescent="0.3">
      <c r="A1486" s="9"/>
      <c r="B1486" s="8"/>
      <c r="C1486" s="20"/>
      <c r="D1486" s="8"/>
      <c r="E1486" s="8"/>
    </row>
    <row r="1487" spans="1:5" x14ac:dyDescent="0.3">
      <c r="A1487" s="9"/>
      <c r="B1487" s="8"/>
      <c r="C1487" s="20"/>
      <c r="D1487" s="8"/>
      <c r="E1487" s="8"/>
    </row>
    <row r="1488" spans="1:5" x14ac:dyDescent="0.3">
      <c r="A1488" s="9"/>
      <c r="B1488" s="8"/>
      <c r="C1488" s="20"/>
      <c r="D1488" s="8"/>
      <c r="E1488" s="8"/>
    </row>
    <row r="1489" spans="1:5" x14ac:dyDescent="0.3">
      <c r="A1489" s="9"/>
      <c r="B1489" s="8"/>
      <c r="C1489" s="20"/>
      <c r="D1489" s="8"/>
      <c r="E1489" s="8"/>
    </row>
    <row r="1490" spans="1:5" x14ac:dyDescent="0.3">
      <c r="A1490" s="9"/>
      <c r="B1490" s="8"/>
      <c r="C1490" s="20"/>
      <c r="D1490" s="8"/>
      <c r="E1490" s="8"/>
    </row>
    <row r="1491" spans="1:5" x14ac:dyDescent="0.3">
      <c r="A1491" s="9"/>
      <c r="B1491" s="8"/>
      <c r="C1491" s="20"/>
      <c r="D1491" s="8"/>
      <c r="E1491" s="8"/>
    </row>
    <row r="1492" spans="1:5" x14ac:dyDescent="0.3">
      <c r="A1492" s="9"/>
      <c r="B1492" s="8"/>
      <c r="C1492" s="20"/>
      <c r="D1492" s="8"/>
      <c r="E1492" s="8"/>
    </row>
    <row r="1493" spans="1:5" x14ac:dyDescent="0.3">
      <c r="A1493" s="9"/>
      <c r="B1493" s="8"/>
      <c r="C1493" s="20"/>
      <c r="D1493" s="8"/>
      <c r="E1493" s="8"/>
    </row>
    <row r="1494" spans="1:5" x14ac:dyDescent="0.3">
      <c r="A1494" s="9"/>
      <c r="B1494" s="8"/>
      <c r="C1494" s="20"/>
      <c r="D1494" s="8"/>
      <c r="E1494" s="8"/>
    </row>
    <row r="1495" spans="1:5" x14ac:dyDescent="0.3">
      <c r="A1495" s="9"/>
      <c r="B1495" s="8"/>
      <c r="C1495" s="20"/>
      <c r="D1495" s="8"/>
      <c r="E1495" s="8"/>
    </row>
    <row r="1496" spans="1:5" x14ac:dyDescent="0.3">
      <c r="A1496" s="9"/>
      <c r="B1496" s="8"/>
      <c r="C1496" s="20"/>
      <c r="D1496" s="8"/>
      <c r="E1496" s="8"/>
    </row>
    <row r="1497" spans="1:5" x14ac:dyDescent="0.3">
      <c r="A1497" s="9"/>
      <c r="B1497" s="8"/>
      <c r="C1497" s="20"/>
      <c r="D1497" s="8"/>
      <c r="E1497" s="8"/>
    </row>
    <row r="1498" spans="1:5" x14ac:dyDescent="0.3">
      <c r="A1498" s="9"/>
      <c r="B1498" s="8"/>
      <c r="C1498" s="20"/>
      <c r="D1498" s="8"/>
      <c r="E1498" s="8"/>
    </row>
    <row r="1499" spans="1:5" x14ac:dyDescent="0.3">
      <c r="A1499" s="9"/>
      <c r="B1499" s="8"/>
      <c r="C1499" s="20"/>
      <c r="D1499" s="8"/>
      <c r="E1499" s="8"/>
    </row>
    <row r="1500" spans="1:5" x14ac:dyDescent="0.3">
      <c r="A1500" s="9"/>
      <c r="B1500" s="8"/>
      <c r="C1500" s="20"/>
      <c r="D1500" s="8"/>
      <c r="E1500" s="8"/>
    </row>
    <row r="1501" spans="1:5" x14ac:dyDescent="0.3">
      <c r="A1501" s="9"/>
      <c r="B1501" s="8"/>
      <c r="C1501" s="20"/>
      <c r="D1501" s="8"/>
      <c r="E1501" s="8"/>
    </row>
    <row r="1502" spans="1:5" x14ac:dyDescent="0.3">
      <c r="A1502" s="9"/>
      <c r="B1502" s="8"/>
      <c r="C1502" s="20"/>
      <c r="D1502" s="8"/>
      <c r="E1502" s="8"/>
    </row>
    <row r="1503" spans="1:5" x14ac:dyDescent="0.3">
      <c r="A1503" s="9"/>
      <c r="B1503" s="8"/>
      <c r="C1503" s="20"/>
      <c r="D1503" s="8"/>
      <c r="E1503" s="8"/>
    </row>
    <row r="1504" spans="1:5" x14ac:dyDescent="0.3">
      <c r="A1504" s="9"/>
      <c r="B1504" s="8"/>
      <c r="C1504" s="20"/>
      <c r="D1504" s="8"/>
      <c r="E1504" s="8"/>
    </row>
    <row r="1505" spans="1:5" x14ac:dyDescent="0.3">
      <c r="A1505" s="9"/>
      <c r="B1505" s="8"/>
      <c r="C1505" s="20"/>
      <c r="D1505" s="8"/>
      <c r="E1505" s="8"/>
    </row>
    <row r="1506" spans="1:5" x14ac:dyDescent="0.3">
      <c r="A1506" s="9"/>
      <c r="B1506" s="8"/>
      <c r="C1506" s="20"/>
      <c r="D1506" s="8"/>
      <c r="E1506" s="8"/>
    </row>
    <row r="1507" spans="1:5" x14ac:dyDescent="0.3">
      <c r="A1507" s="9"/>
      <c r="B1507" s="8"/>
      <c r="C1507" s="20"/>
      <c r="D1507" s="8"/>
      <c r="E1507" s="8"/>
    </row>
    <row r="1508" spans="1:5" x14ac:dyDescent="0.3">
      <c r="A1508" s="9"/>
      <c r="B1508" s="8"/>
      <c r="C1508" s="20"/>
      <c r="D1508" s="8"/>
      <c r="E1508" s="8"/>
    </row>
    <row r="1509" spans="1:5" x14ac:dyDescent="0.3">
      <c r="A1509" s="9"/>
      <c r="B1509" s="8"/>
      <c r="C1509" s="20"/>
      <c r="D1509" s="8"/>
      <c r="E1509" s="8"/>
    </row>
    <row r="1510" spans="1:5" x14ac:dyDescent="0.3">
      <c r="A1510" s="9"/>
      <c r="B1510" s="8"/>
      <c r="C1510" s="20"/>
      <c r="D1510" s="8"/>
      <c r="E1510" s="8"/>
    </row>
    <row r="1511" spans="1:5" x14ac:dyDescent="0.3">
      <c r="A1511" s="9"/>
      <c r="B1511" s="8"/>
      <c r="C1511" s="20"/>
      <c r="D1511" s="8"/>
      <c r="E1511" s="8"/>
    </row>
    <row r="1512" spans="1:5" x14ac:dyDescent="0.3">
      <c r="A1512" s="9"/>
      <c r="B1512" s="8"/>
      <c r="C1512" s="20"/>
      <c r="D1512" s="8"/>
      <c r="E1512" s="8"/>
    </row>
    <row r="1513" spans="1:5" x14ac:dyDescent="0.3">
      <c r="A1513" s="9"/>
      <c r="B1513" s="8"/>
      <c r="C1513" s="20"/>
      <c r="D1513" s="8"/>
      <c r="E1513" s="8"/>
    </row>
    <row r="1514" spans="1:5" x14ac:dyDescent="0.3">
      <c r="A1514" s="9"/>
      <c r="B1514" s="8"/>
      <c r="C1514" s="20"/>
      <c r="D1514" s="8"/>
      <c r="E1514" s="8"/>
    </row>
    <row r="1515" spans="1:5" x14ac:dyDescent="0.3">
      <c r="A1515" s="9"/>
      <c r="B1515" s="8"/>
      <c r="C1515" s="20"/>
      <c r="D1515" s="8"/>
      <c r="E1515" s="8"/>
    </row>
    <row r="1516" spans="1:5" x14ac:dyDescent="0.3">
      <c r="A1516" s="9"/>
      <c r="B1516" s="8"/>
      <c r="C1516" s="20"/>
      <c r="D1516" s="8"/>
      <c r="E1516" s="8"/>
    </row>
    <row r="1517" spans="1:5" x14ac:dyDescent="0.3">
      <c r="A1517" s="9"/>
      <c r="B1517" s="8"/>
      <c r="C1517" s="20"/>
      <c r="D1517" s="8"/>
      <c r="E1517" s="8"/>
    </row>
    <row r="1518" spans="1:5" x14ac:dyDescent="0.3">
      <c r="A1518" s="9"/>
      <c r="B1518" s="8"/>
      <c r="C1518" s="20"/>
      <c r="D1518" s="8"/>
      <c r="E1518" s="8"/>
    </row>
    <row r="1519" spans="1:5" x14ac:dyDescent="0.3">
      <c r="A1519" s="9"/>
      <c r="B1519" s="8"/>
      <c r="C1519" s="20"/>
      <c r="D1519" s="8"/>
      <c r="E1519" s="8"/>
    </row>
    <row r="1520" spans="1:5" x14ac:dyDescent="0.3">
      <c r="A1520" s="9"/>
      <c r="B1520" s="8"/>
      <c r="C1520" s="20"/>
      <c r="D1520" s="8"/>
      <c r="E1520" s="8"/>
    </row>
    <row r="1521" spans="1:5" x14ac:dyDescent="0.3">
      <c r="A1521" s="9"/>
      <c r="B1521" s="8"/>
      <c r="C1521" s="20"/>
      <c r="D1521" s="8"/>
      <c r="E1521" s="8"/>
    </row>
    <row r="1522" spans="1:5" x14ac:dyDescent="0.3">
      <c r="A1522" s="9"/>
      <c r="B1522" s="8"/>
      <c r="C1522" s="20"/>
      <c r="D1522" s="8"/>
      <c r="E1522" s="8"/>
    </row>
    <row r="1523" spans="1:5" x14ac:dyDescent="0.3">
      <c r="A1523" s="9"/>
      <c r="B1523" s="8"/>
      <c r="C1523" s="20"/>
      <c r="D1523" s="8"/>
      <c r="E1523" s="8"/>
    </row>
    <row r="1524" spans="1:5" x14ac:dyDescent="0.3">
      <c r="A1524" s="9"/>
      <c r="B1524" s="8"/>
      <c r="C1524" s="20"/>
      <c r="D1524" s="8"/>
      <c r="E1524" s="8"/>
    </row>
    <row r="1525" spans="1:5" x14ac:dyDescent="0.3">
      <c r="A1525" s="9"/>
      <c r="B1525" s="8"/>
      <c r="C1525" s="20"/>
      <c r="D1525" s="8"/>
      <c r="E1525" s="8"/>
    </row>
    <row r="1526" spans="1:5" x14ac:dyDescent="0.3">
      <c r="A1526" s="9"/>
      <c r="B1526" s="8"/>
      <c r="C1526" s="20"/>
      <c r="D1526" s="8"/>
      <c r="E1526" s="8"/>
    </row>
    <row r="1527" spans="1:5" x14ac:dyDescent="0.3">
      <c r="A1527" s="9"/>
      <c r="B1527" s="8"/>
      <c r="C1527" s="20"/>
      <c r="D1527" s="8"/>
      <c r="E1527" s="8"/>
    </row>
    <row r="1528" spans="1:5" x14ac:dyDescent="0.3">
      <c r="A1528" s="9"/>
      <c r="B1528" s="8"/>
      <c r="C1528" s="20"/>
      <c r="D1528" s="8"/>
      <c r="E1528" s="8"/>
    </row>
    <row r="1529" spans="1:5" x14ac:dyDescent="0.3">
      <c r="A1529" s="9"/>
      <c r="B1529" s="8"/>
      <c r="C1529" s="20"/>
      <c r="D1529" s="8"/>
      <c r="E1529" s="8"/>
    </row>
    <row r="1530" spans="1:5" x14ac:dyDescent="0.3">
      <c r="A1530" s="9"/>
      <c r="B1530" s="8"/>
      <c r="C1530" s="20"/>
      <c r="D1530" s="8"/>
      <c r="E1530" s="8"/>
    </row>
    <row r="1531" spans="1:5" x14ac:dyDescent="0.3">
      <c r="A1531" s="9"/>
      <c r="B1531" s="8"/>
      <c r="C1531" s="20"/>
      <c r="D1531" s="8"/>
      <c r="E1531" s="8"/>
    </row>
    <row r="1532" spans="1:5" x14ac:dyDescent="0.3">
      <c r="A1532" s="9"/>
      <c r="B1532" s="8"/>
      <c r="C1532" s="20"/>
      <c r="D1532" s="8"/>
      <c r="E1532" s="8"/>
    </row>
    <row r="1533" spans="1:5" x14ac:dyDescent="0.3">
      <c r="A1533" s="9"/>
      <c r="B1533" s="8"/>
      <c r="C1533" s="20"/>
      <c r="D1533" s="8"/>
      <c r="E1533" s="8"/>
    </row>
    <row r="1534" spans="1:5" x14ac:dyDescent="0.3">
      <c r="A1534" s="9"/>
      <c r="B1534" s="8"/>
      <c r="C1534" s="20"/>
      <c r="D1534" s="8"/>
      <c r="E1534" s="8"/>
    </row>
    <row r="1535" spans="1:5" x14ac:dyDescent="0.3">
      <c r="A1535" s="9"/>
      <c r="B1535" s="8"/>
      <c r="C1535" s="20"/>
      <c r="D1535" s="8"/>
      <c r="E1535" s="8"/>
    </row>
    <row r="1536" spans="1:5" x14ac:dyDescent="0.3">
      <c r="A1536" s="9"/>
      <c r="B1536" s="8"/>
      <c r="C1536" s="20"/>
      <c r="D1536" s="8"/>
      <c r="E1536" s="8"/>
    </row>
    <row r="1537" spans="1:5" x14ac:dyDescent="0.3">
      <c r="A1537" s="9"/>
      <c r="B1537" s="8"/>
      <c r="C1537" s="20"/>
      <c r="D1537" s="8"/>
      <c r="E1537" s="8"/>
    </row>
    <row r="1538" spans="1:5" x14ac:dyDescent="0.3">
      <c r="A1538" s="9"/>
      <c r="B1538" s="8"/>
      <c r="C1538" s="20"/>
      <c r="D1538" s="8"/>
      <c r="E1538" s="8"/>
    </row>
    <row r="1539" spans="1:5" x14ac:dyDescent="0.3">
      <c r="A1539" s="9"/>
      <c r="B1539" s="8"/>
      <c r="C1539" s="20"/>
      <c r="D1539" s="8"/>
      <c r="E1539" s="8"/>
    </row>
    <row r="1540" spans="1:5" x14ac:dyDescent="0.3">
      <c r="A1540" s="9"/>
      <c r="B1540" s="8"/>
      <c r="C1540" s="20"/>
      <c r="D1540" s="8"/>
      <c r="E1540" s="8"/>
    </row>
    <row r="1541" spans="1:5" x14ac:dyDescent="0.3">
      <c r="A1541" s="9"/>
      <c r="B1541" s="8"/>
      <c r="C1541" s="20"/>
      <c r="D1541" s="8"/>
      <c r="E1541" s="8"/>
    </row>
    <row r="1542" spans="1:5" x14ac:dyDescent="0.3">
      <c r="A1542" s="9"/>
      <c r="B1542" s="8"/>
      <c r="C1542" s="20"/>
      <c r="D1542" s="8"/>
      <c r="E1542" s="8"/>
    </row>
    <row r="1543" spans="1:5" x14ac:dyDescent="0.3">
      <c r="A1543" s="9"/>
      <c r="B1543" s="8"/>
      <c r="C1543" s="20"/>
      <c r="D1543" s="8"/>
      <c r="E1543" s="8"/>
    </row>
    <row r="1544" spans="1:5" x14ac:dyDescent="0.3">
      <c r="A1544" s="9"/>
      <c r="B1544" s="8"/>
      <c r="C1544" s="20"/>
      <c r="D1544" s="8"/>
      <c r="E1544" s="8"/>
    </row>
    <row r="1545" spans="1:5" x14ac:dyDescent="0.3">
      <c r="A1545" s="9"/>
      <c r="B1545" s="8"/>
      <c r="C1545" s="20"/>
      <c r="D1545" s="8"/>
      <c r="E1545" s="8"/>
    </row>
    <row r="1546" spans="1:5" x14ac:dyDescent="0.3">
      <c r="A1546" s="9"/>
      <c r="B1546" s="8"/>
      <c r="C1546" s="20"/>
      <c r="D1546" s="8"/>
      <c r="E1546" s="8"/>
    </row>
    <row r="1547" spans="1:5" x14ac:dyDescent="0.3">
      <c r="A1547" s="9"/>
      <c r="B1547" s="8"/>
      <c r="C1547" s="20"/>
      <c r="D1547" s="8"/>
      <c r="E1547" s="8"/>
    </row>
    <row r="1548" spans="1:5" x14ac:dyDescent="0.3">
      <c r="A1548" s="9"/>
      <c r="B1548" s="8"/>
      <c r="C1548" s="20"/>
      <c r="D1548" s="8"/>
      <c r="E1548" s="8"/>
    </row>
    <row r="1549" spans="1:5" x14ac:dyDescent="0.3">
      <c r="A1549" s="9"/>
      <c r="B1549" s="8"/>
      <c r="C1549" s="20"/>
      <c r="D1549" s="8"/>
      <c r="E1549" s="8"/>
    </row>
    <row r="1550" spans="1:5" x14ac:dyDescent="0.3">
      <c r="A1550" s="9"/>
      <c r="B1550" s="8"/>
      <c r="C1550" s="20"/>
      <c r="D1550" s="8"/>
      <c r="E1550" s="8"/>
    </row>
    <row r="1551" spans="1:5" x14ac:dyDescent="0.3">
      <c r="A1551" s="9"/>
      <c r="B1551" s="8"/>
      <c r="C1551" s="20"/>
      <c r="D1551" s="8"/>
      <c r="E1551" s="8"/>
    </row>
    <row r="1552" spans="1:5" x14ac:dyDescent="0.3">
      <c r="A1552" s="9"/>
      <c r="B1552" s="8"/>
      <c r="C1552" s="20"/>
      <c r="D1552" s="8"/>
      <c r="E1552" s="8"/>
    </row>
    <row r="1553" spans="1:5" x14ac:dyDescent="0.3">
      <c r="A1553" s="9"/>
      <c r="B1553" s="8"/>
      <c r="C1553" s="20"/>
      <c r="D1553" s="8"/>
      <c r="E1553" s="8"/>
    </row>
    <row r="1554" spans="1:5" x14ac:dyDescent="0.3">
      <c r="A1554" s="9"/>
      <c r="B1554" s="8"/>
      <c r="C1554" s="20"/>
      <c r="D1554" s="8"/>
      <c r="E1554" s="8"/>
    </row>
    <row r="1555" spans="1:5" x14ac:dyDescent="0.3">
      <c r="A1555" s="9"/>
      <c r="B1555" s="8"/>
      <c r="C1555" s="20"/>
      <c r="D1555" s="8"/>
      <c r="E1555" s="8"/>
    </row>
    <row r="1556" spans="1:5" x14ac:dyDescent="0.3">
      <c r="A1556" s="9"/>
      <c r="B1556" s="8"/>
      <c r="C1556" s="20"/>
      <c r="D1556" s="8"/>
      <c r="E1556" s="8"/>
    </row>
    <row r="1557" spans="1:5" x14ac:dyDescent="0.3">
      <c r="A1557" s="9"/>
      <c r="B1557" s="8"/>
      <c r="C1557" s="20"/>
      <c r="D1557" s="8"/>
      <c r="E1557" s="8"/>
    </row>
    <row r="1558" spans="1:5" x14ac:dyDescent="0.3">
      <c r="A1558" s="9"/>
      <c r="B1558" s="8"/>
      <c r="C1558" s="20"/>
      <c r="D1558" s="8"/>
      <c r="E1558" s="8"/>
    </row>
    <row r="1559" spans="1:5" x14ac:dyDescent="0.3">
      <c r="A1559" s="9"/>
      <c r="B1559" s="8"/>
      <c r="C1559" s="20"/>
      <c r="D1559" s="8"/>
      <c r="E1559" s="8"/>
    </row>
    <row r="1560" spans="1:5" x14ac:dyDescent="0.3">
      <c r="A1560" s="9"/>
      <c r="B1560" s="8"/>
      <c r="C1560" s="20"/>
      <c r="D1560" s="8"/>
      <c r="E1560" s="8"/>
    </row>
    <row r="1561" spans="1:5" x14ac:dyDescent="0.3">
      <c r="A1561" s="9"/>
      <c r="B1561" s="8"/>
      <c r="C1561" s="20"/>
      <c r="D1561" s="8"/>
      <c r="E1561" s="8"/>
    </row>
    <row r="1562" spans="1:5" x14ac:dyDescent="0.3">
      <c r="A1562" s="9"/>
      <c r="B1562" s="8"/>
      <c r="C1562" s="20"/>
      <c r="D1562" s="8"/>
      <c r="E1562" s="8"/>
    </row>
    <row r="1563" spans="1:5" x14ac:dyDescent="0.3">
      <c r="A1563" s="9"/>
      <c r="B1563" s="8"/>
      <c r="C1563" s="20"/>
      <c r="D1563" s="8"/>
      <c r="E1563" s="8"/>
    </row>
    <row r="1564" spans="1:5" x14ac:dyDescent="0.3">
      <c r="A1564" s="9"/>
      <c r="B1564" s="8"/>
      <c r="C1564" s="20"/>
      <c r="D1564" s="8"/>
      <c r="E1564" s="8"/>
    </row>
    <row r="1565" spans="1:5" x14ac:dyDescent="0.3">
      <c r="A1565" s="9"/>
      <c r="B1565" s="8"/>
      <c r="C1565" s="20"/>
      <c r="D1565" s="8"/>
      <c r="E1565" s="8"/>
    </row>
    <row r="1566" spans="1:5" x14ac:dyDescent="0.3">
      <c r="A1566" s="9"/>
      <c r="B1566" s="8"/>
      <c r="C1566" s="20"/>
      <c r="D1566" s="8"/>
      <c r="E1566" s="8"/>
    </row>
    <row r="1567" spans="1:5" x14ac:dyDescent="0.3">
      <c r="A1567" s="9"/>
      <c r="B1567" s="8"/>
      <c r="C1567" s="20"/>
      <c r="D1567" s="8"/>
      <c r="E1567" s="8"/>
    </row>
    <row r="1568" spans="1:5" x14ac:dyDescent="0.3">
      <c r="A1568" s="9"/>
      <c r="B1568" s="8"/>
      <c r="C1568" s="20"/>
      <c r="D1568" s="8"/>
      <c r="E1568" s="8"/>
    </row>
    <row r="1569" spans="1:5" x14ac:dyDescent="0.3">
      <c r="A1569" s="9"/>
      <c r="B1569" s="8"/>
      <c r="C1569" s="20"/>
      <c r="D1569" s="8"/>
      <c r="E1569" s="8"/>
    </row>
    <row r="1570" spans="1:5" x14ac:dyDescent="0.3">
      <c r="A1570" s="9"/>
      <c r="B1570" s="8"/>
      <c r="C1570" s="20"/>
      <c r="D1570" s="8"/>
      <c r="E1570" s="8"/>
    </row>
    <row r="1571" spans="1:5" x14ac:dyDescent="0.3">
      <c r="A1571" s="9"/>
      <c r="B1571" s="8"/>
      <c r="C1571" s="20"/>
      <c r="D1571" s="8"/>
      <c r="E1571" s="8"/>
    </row>
    <row r="1572" spans="1:5" x14ac:dyDescent="0.3">
      <c r="A1572" s="9"/>
      <c r="B1572" s="8"/>
      <c r="C1572" s="20"/>
      <c r="D1572" s="8"/>
      <c r="E1572" s="8"/>
    </row>
    <row r="1573" spans="1:5" x14ac:dyDescent="0.3">
      <c r="A1573" s="9"/>
      <c r="B1573" s="8"/>
      <c r="C1573" s="20"/>
      <c r="D1573" s="8"/>
      <c r="E1573" s="8"/>
    </row>
    <row r="1574" spans="1:5" x14ac:dyDescent="0.3">
      <c r="A1574" s="9"/>
      <c r="B1574" s="8"/>
      <c r="C1574" s="20"/>
      <c r="D1574" s="8"/>
      <c r="E1574" s="8"/>
    </row>
    <row r="1575" spans="1:5" x14ac:dyDescent="0.3">
      <c r="A1575" s="9"/>
      <c r="B1575" s="8"/>
      <c r="C1575" s="20"/>
      <c r="D1575" s="8"/>
      <c r="E1575" s="8"/>
    </row>
    <row r="1576" spans="1:5" x14ac:dyDescent="0.3">
      <c r="A1576" s="9"/>
      <c r="B1576" s="8"/>
      <c r="C1576" s="20"/>
      <c r="D1576" s="8"/>
      <c r="E1576" s="8"/>
    </row>
    <row r="1577" spans="1:5" x14ac:dyDescent="0.3">
      <c r="A1577" s="9"/>
      <c r="B1577" s="8"/>
      <c r="C1577" s="20"/>
      <c r="D1577" s="8"/>
      <c r="E1577" s="8"/>
    </row>
    <row r="1578" spans="1:5" x14ac:dyDescent="0.3">
      <c r="A1578" s="9"/>
      <c r="B1578" s="8"/>
      <c r="C1578" s="20"/>
      <c r="D1578" s="8"/>
      <c r="E1578" s="8"/>
    </row>
    <row r="1579" spans="1:5" x14ac:dyDescent="0.3">
      <c r="A1579" s="9"/>
      <c r="B1579" s="8"/>
      <c r="C1579" s="20"/>
      <c r="D1579" s="8"/>
      <c r="E1579" s="8"/>
    </row>
    <row r="1580" spans="1:5" x14ac:dyDescent="0.3">
      <c r="A1580" s="9"/>
      <c r="B1580" s="8"/>
      <c r="C1580" s="20"/>
      <c r="D1580" s="8"/>
      <c r="E1580" s="8"/>
    </row>
    <row r="1581" spans="1:5" x14ac:dyDescent="0.3">
      <c r="A1581" s="9"/>
      <c r="B1581" s="8"/>
      <c r="C1581" s="20"/>
      <c r="D1581" s="8"/>
      <c r="E1581" s="8"/>
    </row>
    <row r="1582" spans="1:5" x14ac:dyDescent="0.3">
      <c r="A1582" s="9"/>
      <c r="B1582" s="8"/>
      <c r="C1582" s="20"/>
      <c r="D1582" s="8"/>
      <c r="E1582" s="8"/>
    </row>
    <row r="1583" spans="1:5" x14ac:dyDescent="0.3">
      <c r="A1583" s="9"/>
      <c r="B1583" s="8"/>
      <c r="C1583" s="20"/>
      <c r="D1583" s="8"/>
      <c r="E1583" s="8"/>
    </row>
    <row r="1584" spans="1:5" x14ac:dyDescent="0.3">
      <c r="A1584" s="9"/>
      <c r="B1584" s="8"/>
      <c r="C1584" s="20"/>
      <c r="D1584" s="8"/>
      <c r="E1584" s="8"/>
    </row>
    <row r="1585" spans="1:5" x14ac:dyDescent="0.3">
      <c r="A1585" s="9"/>
      <c r="B1585" s="8"/>
      <c r="C1585" s="20"/>
      <c r="D1585" s="8"/>
      <c r="E1585" s="8"/>
    </row>
    <row r="1586" spans="1:5" x14ac:dyDescent="0.3">
      <c r="A1586" s="9"/>
      <c r="B1586" s="8"/>
      <c r="C1586" s="20"/>
      <c r="D1586" s="8"/>
      <c r="E1586" s="8"/>
    </row>
    <row r="1587" spans="1:5" x14ac:dyDescent="0.3">
      <c r="A1587" s="9"/>
      <c r="B1587" s="8"/>
      <c r="C1587" s="20"/>
      <c r="D1587" s="8"/>
      <c r="E1587" s="8"/>
    </row>
    <row r="1588" spans="1:5" x14ac:dyDescent="0.3">
      <c r="A1588" s="9"/>
      <c r="B1588" s="8"/>
      <c r="C1588" s="20"/>
      <c r="D1588" s="8"/>
      <c r="E1588" s="8"/>
    </row>
    <row r="1589" spans="1:5" x14ac:dyDescent="0.3">
      <c r="A1589" s="9"/>
      <c r="B1589" s="8"/>
      <c r="C1589" s="20"/>
      <c r="D1589" s="8"/>
      <c r="E1589" s="8"/>
    </row>
    <row r="1590" spans="1:5" x14ac:dyDescent="0.3">
      <c r="A1590" s="9"/>
      <c r="B1590" s="8"/>
      <c r="C1590" s="20"/>
      <c r="D1590" s="8"/>
      <c r="E1590" s="8"/>
    </row>
    <row r="1591" spans="1:5" x14ac:dyDescent="0.3">
      <c r="A1591" s="9"/>
      <c r="B1591" s="8"/>
      <c r="C1591" s="20"/>
      <c r="D1591" s="8"/>
      <c r="E1591" s="8"/>
    </row>
    <row r="1592" spans="1:5" x14ac:dyDescent="0.3">
      <c r="A1592" s="9"/>
      <c r="B1592" s="8"/>
      <c r="C1592" s="20"/>
      <c r="D1592" s="8"/>
      <c r="E1592" s="8"/>
    </row>
    <row r="1593" spans="1:5" x14ac:dyDescent="0.3">
      <c r="A1593" s="9"/>
      <c r="B1593" s="8"/>
      <c r="C1593" s="20"/>
      <c r="D1593" s="8"/>
      <c r="E1593" s="8"/>
    </row>
    <row r="1594" spans="1:5" x14ac:dyDescent="0.3">
      <c r="A1594" s="9"/>
      <c r="B1594" s="8"/>
      <c r="C1594" s="20"/>
      <c r="D1594" s="8"/>
      <c r="E1594" s="8"/>
    </row>
    <row r="1595" spans="1:5" x14ac:dyDescent="0.3">
      <c r="A1595" s="9"/>
      <c r="B1595" s="8"/>
      <c r="C1595" s="20"/>
      <c r="D1595" s="8"/>
      <c r="E1595" s="8"/>
    </row>
    <row r="1596" spans="1:5" x14ac:dyDescent="0.3">
      <c r="A1596" s="9"/>
      <c r="B1596" s="8"/>
      <c r="C1596" s="20"/>
      <c r="D1596" s="8"/>
      <c r="E1596" s="8"/>
    </row>
    <row r="1597" spans="1:5" x14ac:dyDescent="0.3">
      <c r="A1597" s="9"/>
      <c r="B1597" s="8"/>
      <c r="C1597" s="20"/>
      <c r="D1597" s="8"/>
      <c r="E1597" s="8"/>
    </row>
    <row r="1598" spans="1:5" x14ac:dyDescent="0.3">
      <c r="A1598" s="9"/>
      <c r="B1598" s="8"/>
      <c r="C1598" s="20"/>
      <c r="D1598" s="8"/>
      <c r="E1598" s="8"/>
    </row>
    <row r="1599" spans="1:5" x14ac:dyDescent="0.3">
      <c r="A1599" s="9"/>
      <c r="B1599" s="8"/>
      <c r="C1599" s="20"/>
      <c r="D1599" s="8"/>
      <c r="E1599" s="8"/>
    </row>
    <row r="1600" spans="1:5" x14ac:dyDescent="0.3">
      <c r="A1600" s="9"/>
      <c r="B1600" s="8"/>
      <c r="C1600" s="20"/>
      <c r="D1600" s="8"/>
      <c r="E1600" s="8"/>
    </row>
    <row r="1601" spans="1:5" x14ac:dyDescent="0.3">
      <c r="A1601" s="9"/>
      <c r="B1601" s="8"/>
      <c r="C1601" s="20"/>
      <c r="D1601" s="8"/>
      <c r="E1601" s="8"/>
    </row>
    <row r="1602" spans="1:5" x14ac:dyDescent="0.3">
      <c r="A1602" s="9"/>
      <c r="B1602" s="8"/>
      <c r="C1602" s="20"/>
      <c r="D1602" s="8"/>
      <c r="E1602" s="8"/>
    </row>
    <row r="1603" spans="1:5" x14ac:dyDescent="0.3">
      <c r="A1603" s="9"/>
      <c r="B1603" s="8"/>
      <c r="C1603" s="20"/>
      <c r="D1603" s="8"/>
      <c r="E1603" s="8"/>
    </row>
    <row r="1604" spans="1:5" x14ac:dyDescent="0.3">
      <c r="A1604" s="9"/>
      <c r="B1604" s="8"/>
      <c r="C1604" s="20"/>
      <c r="D1604" s="8"/>
      <c r="E1604" s="8"/>
    </row>
    <row r="1605" spans="1:5" x14ac:dyDescent="0.3">
      <c r="A1605" s="9"/>
      <c r="B1605" s="8"/>
      <c r="C1605" s="20"/>
      <c r="D1605" s="8"/>
      <c r="E1605" s="8"/>
    </row>
    <row r="1606" spans="1:5" x14ac:dyDescent="0.3">
      <c r="A1606" s="9"/>
      <c r="B1606" s="8"/>
      <c r="C1606" s="20"/>
      <c r="D1606" s="8"/>
      <c r="E1606" s="8"/>
    </row>
    <row r="1607" spans="1:5" x14ac:dyDescent="0.3">
      <c r="A1607" s="9"/>
      <c r="B1607" s="8"/>
      <c r="C1607" s="20"/>
      <c r="D1607" s="8"/>
      <c r="E1607" s="8"/>
    </row>
    <row r="1608" spans="1:5" x14ac:dyDescent="0.3">
      <c r="A1608" s="9"/>
      <c r="B1608" s="8"/>
      <c r="C1608" s="20"/>
      <c r="D1608" s="8"/>
      <c r="E1608" s="8"/>
    </row>
    <row r="1609" spans="1:5" x14ac:dyDescent="0.3">
      <c r="A1609" s="9"/>
      <c r="B1609" s="8"/>
      <c r="C1609" s="20"/>
      <c r="D1609" s="8"/>
      <c r="E1609" s="8"/>
    </row>
    <row r="1610" spans="1:5" x14ac:dyDescent="0.3">
      <c r="A1610" s="9"/>
      <c r="B1610" s="8"/>
      <c r="C1610" s="20"/>
      <c r="D1610" s="8"/>
      <c r="E1610" s="8"/>
    </row>
    <row r="1611" spans="1:5" x14ac:dyDescent="0.3">
      <c r="A1611" s="9"/>
      <c r="B1611" s="8"/>
      <c r="C1611" s="20"/>
      <c r="D1611" s="8"/>
      <c r="E1611" s="8"/>
    </row>
    <row r="1612" spans="1:5" x14ac:dyDescent="0.3">
      <c r="A1612" s="9"/>
      <c r="B1612" s="8"/>
      <c r="C1612" s="20"/>
      <c r="D1612" s="8"/>
      <c r="E1612" s="8"/>
    </row>
    <row r="1613" spans="1:5" x14ac:dyDescent="0.3">
      <c r="A1613" s="9"/>
      <c r="B1613" s="8"/>
      <c r="C1613" s="20"/>
      <c r="D1613" s="8"/>
      <c r="E1613" s="8"/>
    </row>
    <row r="1614" spans="1:5" x14ac:dyDescent="0.3">
      <c r="A1614" s="9"/>
      <c r="B1614" s="8"/>
      <c r="C1614" s="20"/>
      <c r="D1614" s="8"/>
      <c r="E1614" s="8"/>
    </row>
    <row r="1615" spans="1:5" x14ac:dyDescent="0.3">
      <c r="A1615" s="9"/>
      <c r="B1615" s="8"/>
      <c r="C1615" s="20"/>
      <c r="D1615" s="8"/>
      <c r="E1615" s="8"/>
    </row>
    <row r="1616" spans="1:5" x14ac:dyDescent="0.3">
      <c r="A1616" s="9"/>
      <c r="B1616" s="8"/>
      <c r="C1616" s="20"/>
      <c r="D1616" s="8"/>
      <c r="E1616" s="8"/>
    </row>
    <row r="1617" spans="1:5" x14ac:dyDescent="0.3">
      <c r="A1617" s="9"/>
      <c r="B1617" s="8"/>
      <c r="C1617" s="20"/>
      <c r="D1617" s="8"/>
      <c r="E1617" s="8"/>
    </row>
    <row r="1618" spans="1:5" x14ac:dyDescent="0.3">
      <c r="A1618" s="9"/>
      <c r="B1618" s="8"/>
      <c r="C1618" s="20"/>
      <c r="D1618" s="8"/>
      <c r="E1618" s="8"/>
    </row>
    <row r="1619" spans="1:5" x14ac:dyDescent="0.3">
      <c r="A1619" s="9"/>
      <c r="B1619" s="8"/>
      <c r="C1619" s="20"/>
      <c r="D1619" s="8"/>
      <c r="E1619" s="8"/>
    </row>
    <row r="1620" spans="1:5" x14ac:dyDescent="0.3">
      <c r="A1620" s="9"/>
      <c r="B1620" s="8"/>
      <c r="C1620" s="20"/>
      <c r="D1620" s="8"/>
      <c r="E1620" s="8"/>
    </row>
    <row r="1621" spans="1:5" x14ac:dyDescent="0.3">
      <c r="A1621" s="9"/>
      <c r="B1621" s="8"/>
      <c r="C1621" s="20"/>
      <c r="D1621" s="8"/>
      <c r="E1621" s="8"/>
    </row>
    <row r="1622" spans="1:5" x14ac:dyDescent="0.3">
      <c r="A1622" s="9"/>
      <c r="B1622" s="8"/>
      <c r="C1622" s="20"/>
      <c r="D1622" s="8"/>
      <c r="E1622" s="8"/>
    </row>
    <row r="1623" spans="1:5" x14ac:dyDescent="0.3">
      <c r="A1623" s="9"/>
      <c r="B1623" s="8"/>
      <c r="C1623" s="20"/>
      <c r="D1623" s="8"/>
      <c r="E1623" s="8"/>
    </row>
    <row r="1624" spans="1:5" x14ac:dyDescent="0.3">
      <c r="A1624" s="9"/>
      <c r="B1624" s="8"/>
      <c r="C1624" s="20"/>
      <c r="D1624" s="8"/>
      <c r="E1624" s="8"/>
    </row>
    <row r="1625" spans="1:5" x14ac:dyDescent="0.3">
      <c r="A1625" s="9"/>
      <c r="B1625" s="8"/>
      <c r="C1625" s="20"/>
      <c r="D1625" s="8"/>
      <c r="E1625" s="8"/>
    </row>
    <row r="1626" spans="1:5" x14ac:dyDescent="0.3">
      <c r="A1626" s="9"/>
      <c r="B1626" s="8"/>
      <c r="C1626" s="20"/>
      <c r="D1626" s="8"/>
      <c r="E1626" s="8"/>
    </row>
    <row r="1627" spans="1:5" x14ac:dyDescent="0.3">
      <c r="A1627" s="9"/>
      <c r="B1627" s="8"/>
      <c r="C1627" s="20"/>
      <c r="D1627" s="8"/>
      <c r="E1627" s="8"/>
    </row>
    <row r="1628" spans="1:5" x14ac:dyDescent="0.3">
      <c r="A1628" s="9"/>
      <c r="B1628" s="8"/>
      <c r="C1628" s="20"/>
      <c r="D1628" s="8"/>
      <c r="E1628" s="8"/>
    </row>
    <row r="1629" spans="1:5" x14ac:dyDescent="0.3">
      <c r="A1629" s="9"/>
      <c r="B1629" s="8"/>
      <c r="C1629" s="20"/>
      <c r="D1629" s="8"/>
      <c r="E1629" s="8"/>
    </row>
    <row r="1630" spans="1:5" x14ac:dyDescent="0.3">
      <c r="A1630" s="9"/>
      <c r="B1630" s="8"/>
      <c r="C1630" s="20"/>
      <c r="D1630" s="8"/>
      <c r="E1630" s="8"/>
    </row>
    <row r="1631" spans="1:5" x14ac:dyDescent="0.3">
      <c r="A1631" s="9"/>
      <c r="B1631" s="8"/>
      <c r="C1631" s="20"/>
      <c r="D1631" s="8"/>
      <c r="E1631" s="8"/>
    </row>
    <row r="1632" spans="1:5" x14ac:dyDescent="0.3">
      <c r="A1632" s="9"/>
      <c r="B1632" s="8"/>
      <c r="C1632" s="20"/>
      <c r="D1632" s="8"/>
      <c r="E1632" s="8"/>
    </row>
    <row r="1633" spans="1:5" x14ac:dyDescent="0.3">
      <c r="A1633" s="9"/>
      <c r="B1633" s="8"/>
      <c r="C1633" s="20"/>
      <c r="D1633" s="8"/>
      <c r="E1633" s="8"/>
    </row>
    <row r="1634" spans="1:5" x14ac:dyDescent="0.3">
      <c r="A1634" s="9"/>
      <c r="B1634" s="8"/>
      <c r="C1634" s="20"/>
      <c r="D1634" s="8"/>
      <c r="E1634" s="8"/>
    </row>
    <row r="1635" spans="1:5" x14ac:dyDescent="0.3">
      <c r="A1635" s="9"/>
      <c r="B1635" s="8"/>
      <c r="C1635" s="20"/>
      <c r="D1635" s="8"/>
      <c r="E1635" s="8"/>
    </row>
    <row r="1636" spans="1:5" x14ac:dyDescent="0.3">
      <c r="A1636" s="9"/>
      <c r="B1636" s="8"/>
      <c r="C1636" s="20"/>
      <c r="D1636" s="8"/>
      <c r="E1636" s="8"/>
    </row>
    <row r="1637" spans="1:5" x14ac:dyDescent="0.3">
      <c r="A1637" s="9"/>
      <c r="B1637" s="8"/>
      <c r="C1637" s="20"/>
      <c r="D1637" s="8"/>
      <c r="E1637" s="8"/>
    </row>
    <row r="1638" spans="1:5" x14ac:dyDescent="0.3">
      <c r="A1638" s="9"/>
      <c r="B1638" s="8"/>
      <c r="C1638" s="20"/>
      <c r="D1638" s="8"/>
      <c r="E1638" s="8"/>
    </row>
    <row r="1639" spans="1:5" x14ac:dyDescent="0.3">
      <c r="A1639" s="9"/>
      <c r="B1639" s="8"/>
      <c r="C1639" s="20"/>
      <c r="D1639" s="8"/>
      <c r="E1639" s="8"/>
    </row>
    <row r="1640" spans="1:5" x14ac:dyDescent="0.3">
      <c r="A1640" s="9"/>
      <c r="B1640" s="8"/>
      <c r="C1640" s="20"/>
      <c r="D1640" s="8"/>
      <c r="E1640" s="8"/>
    </row>
    <row r="1641" spans="1:5" x14ac:dyDescent="0.3">
      <c r="A1641" s="9"/>
      <c r="B1641" s="8"/>
      <c r="C1641" s="20"/>
      <c r="D1641" s="8"/>
      <c r="E1641" s="8"/>
    </row>
    <row r="1642" spans="1:5" x14ac:dyDescent="0.3">
      <c r="A1642" s="9"/>
      <c r="B1642" s="8"/>
      <c r="C1642" s="20"/>
      <c r="D1642" s="8"/>
      <c r="E1642" s="8"/>
    </row>
    <row r="1643" spans="1:5" x14ac:dyDescent="0.3">
      <c r="A1643" s="9"/>
      <c r="B1643" s="8"/>
      <c r="C1643" s="20"/>
      <c r="D1643" s="8"/>
      <c r="E1643" s="8"/>
    </row>
    <row r="1644" spans="1:5" x14ac:dyDescent="0.3">
      <c r="A1644" s="9"/>
      <c r="B1644" s="8"/>
      <c r="C1644" s="20"/>
      <c r="D1644" s="8"/>
      <c r="E1644" s="8"/>
    </row>
    <row r="1645" spans="1:5" x14ac:dyDescent="0.3">
      <c r="A1645" s="9"/>
      <c r="B1645" s="8"/>
      <c r="C1645" s="20"/>
      <c r="D1645" s="8"/>
      <c r="E1645" s="8"/>
    </row>
    <row r="1646" spans="1:5" x14ac:dyDescent="0.3">
      <c r="A1646" s="9"/>
      <c r="B1646" s="8"/>
      <c r="C1646" s="20"/>
      <c r="D1646" s="8"/>
      <c r="E1646" s="8"/>
    </row>
    <row r="1647" spans="1:5" x14ac:dyDescent="0.3">
      <c r="A1647" s="9"/>
      <c r="B1647" s="8"/>
      <c r="C1647" s="20"/>
      <c r="D1647" s="8"/>
      <c r="E1647" s="8"/>
    </row>
    <row r="1648" spans="1:5" x14ac:dyDescent="0.3">
      <c r="A1648" s="9"/>
      <c r="B1648" s="8"/>
      <c r="C1648" s="20"/>
      <c r="D1648" s="8"/>
      <c r="E1648" s="8"/>
    </row>
    <row r="1649" spans="1:5" x14ac:dyDescent="0.3">
      <c r="A1649" s="9"/>
      <c r="B1649" s="8"/>
      <c r="C1649" s="20"/>
      <c r="D1649" s="8"/>
      <c r="E1649" s="8"/>
    </row>
    <row r="1650" spans="1:5" x14ac:dyDescent="0.3">
      <c r="A1650" s="9"/>
      <c r="B1650" s="8"/>
      <c r="C1650" s="20"/>
      <c r="D1650" s="8"/>
      <c r="E1650" s="8"/>
    </row>
    <row r="1651" spans="1:5" x14ac:dyDescent="0.3">
      <c r="A1651" s="9"/>
      <c r="B1651" s="8"/>
      <c r="C1651" s="20"/>
      <c r="D1651" s="8"/>
      <c r="E1651" s="8"/>
    </row>
    <row r="1652" spans="1:5" x14ac:dyDescent="0.3">
      <c r="A1652" s="9"/>
      <c r="B1652" s="8"/>
      <c r="C1652" s="20"/>
      <c r="D1652" s="8"/>
      <c r="E1652" s="8"/>
    </row>
    <row r="1653" spans="1:5" x14ac:dyDescent="0.3">
      <c r="A1653" s="9"/>
      <c r="B1653" s="8"/>
      <c r="C1653" s="20"/>
      <c r="D1653" s="8"/>
      <c r="E1653" s="8"/>
    </row>
    <row r="1654" spans="1:5" x14ac:dyDescent="0.3">
      <c r="A1654" s="9"/>
      <c r="B1654" s="8"/>
      <c r="C1654" s="20"/>
      <c r="D1654" s="8"/>
      <c r="E1654" s="8"/>
    </row>
    <row r="1655" spans="1:5" x14ac:dyDescent="0.3">
      <c r="A1655" s="9"/>
      <c r="B1655" s="8"/>
      <c r="C1655" s="20"/>
      <c r="D1655" s="8"/>
      <c r="E1655" s="8"/>
    </row>
    <row r="1656" spans="1:5" x14ac:dyDescent="0.3">
      <c r="A1656" s="9"/>
      <c r="B1656" s="8"/>
      <c r="C1656" s="20"/>
      <c r="D1656" s="8"/>
      <c r="E1656" s="8"/>
    </row>
    <row r="1657" spans="1:5" x14ac:dyDescent="0.3">
      <c r="A1657" s="9"/>
      <c r="B1657" s="8"/>
      <c r="C1657" s="20"/>
      <c r="D1657" s="8"/>
      <c r="E1657" s="8"/>
    </row>
    <row r="1658" spans="1:5" x14ac:dyDescent="0.3">
      <c r="A1658" s="9"/>
      <c r="B1658" s="8"/>
      <c r="C1658" s="20"/>
      <c r="D1658" s="8"/>
      <c r="E1658" s="8"/>
    </row>
    <row r="1659" spans="1:5" x14ac:dyDescent="0.3">
      <c r="A1659" s="9"/>
      <c r="B1659" s="8"/>
      <c r="C1659" s="20"/>
      <c r="D1659" s="8"/>
      <c r="E1659" s="8"/>
    </row>
    <row r="1660" spans="1:5" x14ac:dyDescent="0.3">
      <c r="A1660" s="9"/>
      <c r="B1660" s="8"/>
      <c r="C1660" s="20"/>
      <c r="D1660" s="8"/>
      <c r="E1660" s="8"/>
    </row>
    <row r="1661" spans="1:5" x14ac:dyDescent="0.3">
      <c r="A1661" s="9"/>
      <c r="B1661" s="8"/>
      <c r="C1661" s="20"/>
      <c r="D1661" s="8"/>
      <c r="E1661" s="8"/>
    </row>
    <row r="1662" spans="1:5" x14ac:dyDescent="0.3">
      <c r="A1662" s="9"/>
      <c r="B1662" s="8"/>
      <c r="C1662" s="20"/>
      <c r="D1662" s="8"/>
      <c r="E1662" s="8"/>
    </row>
    <row r="1663" spans="1:5" x14ac:dyDescent="0.3">
      <c r="A1663" s="9"/>
      <c r="B1663" s="8"/>
      <c r="C1663" s="20"/>
      <c r="D1663" s="8"/>
      <c r="E1663" s="8"/>
    </row>
    <row r="1664" spans="1:5" x14ac:dyDescent="0.3">
      <c r="A1664" s="9"/>
      <c r="B1664" s="8"/>
      <c r="C1664" s="20"/>
      <c r="D1664" s="8"/>
      <c r="E1664" s="8"/>
    </row>
    <row r="1665" spans="1:5" x14ac:dyDescent="0.3">
      <c r="A1665" s="9"/>
      <c r="B1665" s="8"/>
      <c r="C1665" s="20"/>
      <c r="D1665" s="8"/>
      <c r="E1665" s="8"/>
    </row>
    <row r="1666" spans="1:5" x14ac:dyDescent="0.3">
      <c r="A1666" s="9"/>
      <c r="B1666" s="8"/>
      <c r="C1666" s="20"/>
      <c r="D1666" s="8"/>
      <c r="E1666" s="8"/>
    </row>
    <row r="1667" spans="1:5" x14ac:dyDescent="0.3">
      <c r="A1667" s="9"/>
      <c r="B1667" s="8"/>
      <c r="C1667" s="20"/>
      <c r="D1667" s="8"/>
      <c r="E1667" s="8"/>
    </row>
    <row r="1668" spans="1:5" x14ac:dyDescent="0.3">
      <c r="A1668" s="9"/>
      <c r="B1668" s="8"/>
      <c r="C1668" s="20"/>
      <c r="D1668" s="8"/>
      <c r="E1668" s="8"/>
    </row>
    <row r="1669" spans="1:5" x14ac:dyDescent="0.3">
      <c r="A1669" s="9"/>
      <c r="B1669" s="8"/>
      <c r="C1669" s="20"/>
      <c r="D1669" s="8"/>
      <c r="E1669" s="8"/>
    </row>
    <row r="1670" spans="1:5" x14ac:dyDescent="0.3">
      <c r="A1670" s="9"/>
      <c r="B1670" s="8"/>
      <c r="C1670" s="20"/>
      <c r="D1670" s="8"/>
      <c r="E1670" s="8"/>
    </row>
    <row r="1671" spans="1:5" x14ac:dyDescent="0.3">
      <c r="A1671" s="9"/>
      <c r="B1671" s="8"/>
      <c r="C1671" s="20"/>
      <c r="D1671" s="8"/>
      <c r="E1671" s="8"/>
    </row>
    <row r="1672" spans="1:5" x14ac:dyDescent="0.3">
      <c r="A1672" s="9"/>
      <c r="B1672" s="8"/>
      <c r="C1672" s="20"/>
      <c r="D1672" s="8"/>
      <c r="E1672" s="8"/>
    </row>
    <row r="1673" spans="1:5" x14ac:dyDescent="0.3">
      <c r="A1673" s="9"/>
      <c r="B1673" s="8"/>
      <c r="C1673" s="20"/>
      <c r="D1673" s="8"/>
      <c r="E1673" s="8"/>
    </row>
    <row r="1674" spans="1:5" x14ac:dyDescent="0.3">
      <c r="A1674" s="9"/>
      <c r="B1674" s="8"/>
      <c r="C1674" s="20"/>
      <c r="D1674" s="8"/>
      <c r="E1674" s="8"/>
    </row>
    <row r="1675" spans="1:5" x14ac:dyDescent="0.3">
      <c r="A1675" s="9"/>
      <c r="B1675" s="8"/>
      <c r="C1675" s="20"/>
      <c r="D1675" s="8"/>
      <c r="E1675" s="8"/>
    </row>
    <row r="1676" spans="1:5" x14ac:dyDescent="0.3">
      <c r="A1676" s="9"/>
      <c r="B1676" s="8"/>
      <c r="C1676" s="20"/>
      <c r="D1676" s="8"/>
      <c r="E1676" s="8"/>
    </row>
    <row r="1677" spans="1:5" x14ac:dyDescent="0.3">
      <c r="A1677" s="9"/>
      <c r="B1677" s="8"/>
      <c r="C1677" s="20"/>
      <c r="D1677" s="8"/>
      <c r="E1677" s="8"/>
    </row>
    <row r="1678" spans="1:5" x14ac:dyDescent="0.3">
      <c r="A1678" s="9"/>
      <c r="B1678" s="8"/>
      <c r="C1678" s="20"/>
      <c r="D1678" s="8"/>
      <c r="E1678" s="8"/>
    </row>
    <row r="1679" spans="1:5" x14ac:dyDescent="0.3">
      <c r="A1679" s="9"/>
      <c r="B1679" s="8"/>
      <c r="C1679" s="20"/>
      <c r="D1679" s="8"/>
      <c r="E1679" s="8"/>
    </row>
    <row r="1680" spans="1:5" x14ac:dyDescent="0.3">
      <c r="A1680" s="9"/>
      <c r="B1680" s="8"/>
      <c r="C1680" s="20"/>
      <c r="D1680" s="8"/>
      <c r="E1680" s="8"/>
    </row>
    <row r="1681" spans="1:5" x14ac:dyDescent="0.3">
      <c r="A1681" s="9"/>
      <c r="B1681" s="8"/>
      <c r="C1681" s="20"/>
      <c r="D1681" s="8"/>
      <c r="E1681" s="8"/>
    </row>
    <row r="1682" spans="1:5" x14ac:dyDescent="0.3">
      <c r="A1682" s="9"/>
      <c r="B1682" s="8"/>
      <c r="C1682" s="20"/>
      <c r="D1682" s="8"/>
      <c r="E1682" s="8"/>
    </row>
    <row r="1683" spans="1:5" x14ac:dyDescent="0.3">
      <c r="A1683" s="9"/>
      <c r="B1683" s="8"/>
      <c r="C1683" s="20"/>
      <c r="D1683" s="8"/>
      <c r="E1683" s="8"/>
    </row>
    <row r="1684" spans="1:5" x14ac:dyDescent="0.3">
      <c r="A1684" s="9"/>
      <c r="B1684" s="8"/>
      <c r="C1684" s="20"/>
      <c r="D1684" s="8"/>
      <c r="E1684" s="8"/>
    </row>
    <row r="1685" spans="1:5" x14ac:dyDescent="0.3">
      <c r="A1685" s="9"/>
      <c r="B1685" s="8"/>
      <c r="C1685" s="20"/>
      <c r="D1685" s="8"/>
      <c r="E1685" s="8"/>
    </row>
    <row r="1686" spans="1:5" x14ac:dyDescent="0.3">
      <c r="A1686" s="9"/>
      <c r="B1686" s="8"/>
      <c r="C1686" s="20"/>
      <c r="D1686" s="8"/>
      <c r="E1686" s="8"/>
    </row>
    <row r="1687" spans="1:5" x14ac:dyDescent="0.3">
      <c r="A1687" s="9"/>
      <c r="B1687" s="8"/>
      <c r="C1687" s="20"/>
      <c r="D1687" s="8"/>
      <c r="E1687" s="8"/>
    </row>
    <row r="1688" spans="1:5" x14ac:dyDescent="0.3">
      <c r="A1688" s="9"/>
      <c r="B1688" s="8"/>
      <c r="C1688" s="20"/>
      <c r="D1688" s="8"/>
      <c r="E1688" s="8"/>
    </row>
    <row r="1689" spans="1:5" x14ac:dyDescent="0.3">
      <c r="A1689" s="9"/>
      <c r="B1689" s="8"/>
      <c r="C1689" s="20"/>
      <c r="D1689" s="8"/>
      <c r="E1689" s="8"/>
    </row>
    <row r="1690" spans="1:5" x14ac:dyDescent="0.3">
      <c r="A1690" s="9"/>
      <c r="B1690" s="8"/>
      <c r="C1690" s="20"/>
      <c r="D1690" s="8"/>
      <c r="E1690" s="8"/>
    </row>
    <row r="1691" spans="1:5" x14ac:dyDescent="0.3">
      <c r="A1691" s="9"/>
      <c r="B1691" s="8"/>
      <c r="C1691" s="20"/>
      <c r="D1691" s="8"/>
      <c r="E1691" s="8"/>
    </row>
    <row r="1692" spans="1:5" x14ac:dyDescent="0.3">
      <c r="A1692" s="9"/>
      <c r="B1692" s="8"/>
      <c r="C1692" s="20"/>
      <c r="D1692" s="8"/>
      <c r="E1692" s="8"/>
    </row>
    <row r="1693" spans="1:5" x14ac:dyDescent="0.3">
      <c r="A1693" s="9"/>
      <c r="B1693" s="8"/>
      <c r="C1693" s="20"/>
      <c r="D1693" s="8"/>
      <c r="E1693" s="8"/>
    </row>
    <row r="1694" spans="1:5" x14ac:dyDescent="0.3">
      <c r="A1694" s="9"/>
      <c r="B1694" s="8"/>
      <c r="C1694" s="20"/>
      <c r="D1694" s="8"/>
      <c r="E1694" s="8"/>
    </row>
    <row r="1695" spans="1:5" x14ac:dyDescent="0.3">
      <c r="A1695" s="9"/>
      <c r="B1695" s="8"/>
      <c r="C1695" s="20"/>
      <c r="D1695" s="8"/>
      <c r="E1695" s="8"/>
    </row>
    <row r="1696" spans="1:5" x14ac:dyDescent="0.3">
      <c r="A1696" s="9"/>
      <c r="B1696" s="8"/>
      <c r="C1696" s="20"/>
      <c r="D1696" s="8"/>
      <c r="E1696" s="8"/>
    </row>
    <row r="1697" spans="1:5" x14ac:dyDescent="0.3">
      <c r="A1697" s="9"/>
      <c r="B1697" s="8"/>
      <c r="C1697" s="20"/>
      <c r="D1697" s="8"/>
      <c r="E1697" s="8"/>
    </row>
    <row r="1698" spans="1:5" x14ac:dyDescent="0.3">
      <c r="A1698" s="9"/>
      <c r="B1698" s="8"/>
      <c r="C1698" s="20"/>
      <c r="D1698" s="8"/>
      <c r="E1698" s="8"/>
    </row>
    <row r="1699" spans="1:5" x14ac:dyDescent="0.3">
      <c r="A1699" s="9"/>
      <c r="B1699" s="8"/>
      <c r="C1699" s="20"/>
      <c r="D1699" s="8"/>
      <c r="E1699" s="8"/>
    </row>
    <row r="1700" spans="1:5" x14ac:dyDescent="0.3">
      <c r="A1700" s="9"/>
      <c r="B1700" s="8"/>
      <c r="C1700" s="20"/>
      <c r="D1700" s="8"/>
      <c r="E1700" s="8"/>
    </row>
    <row r="1701" spans="1:5" x14ac:dyDescent="0.3">
      <c r="A1701" s="9"/>
      <c r="B1701" s="8"/>
      <c r="C1701" s="20"/>
      <c r="D1701" s="8"/>
      <c r="E1701" s="8"/>
    </row>
    <row r="1702" spans="1:5" x14ac:dyDescent="0.3">
      <c r="A1702" s="9"/>
      <c r="B1702" s="8"/>
      <c r="C1702" s="20"/>
      <c r="D1702" s="8"/>
      <c r="E1702" s="8"/>
    </row>
    <row r="1703" spans="1:5" x14ac:dyDescent="0.3">
      <c r="A1703" s="9"/>
      <c r="B1703" s="8"/>
      <c r="C1703" s="20"/>
      <c r="D1703" s="8"/>
      <c r="E1703" s="8"/>
    </row>
    <row r="1704" spans="1:5" x14ac:dyDescent="0.3">
      <c r="A1704" s="9"/>
      <c r="B1704" s="8"/>
      <c r="C1704" s="20"/>
      <c r="D1704" s="8"/>
      <c r="E1704" s="8"/>
    </row>
    <row r="1705" spans="1:5" x14ac:dyDescent="0.3">
      <c r="A1705" s="9"/>
      <c r="B1705" s="8"/>
      <c r="C1705" s="20"/>
      <c r="D1705" s="8"/>
      <c r="E1705" s="8"/>
    </row>
    <row r="1706" spans="1:5" x14ac:dyDescent="0.3">
      <c r="A1706" s="9"/>
      <c r="B1706" s="8"/>
      <c r="C1706" s="20"/>
      <c r="D1706" s="8"/>
      <c r="E1706" s="8"/>
    </row>
    <row r="1707" spans="1:5" x14ac:dyDescent="0.3">
      <c r="A1707" s="9"/>
      <c r="B1707" s="8"/>
      <c r="C1707" s="20"/>
      <c r="D1707" s="8"/>
      <c r="E1707" s="8"/>
    </row>
    <row r="1708" spans="1:5" x14ac:dyDescent="0.3">
      <c r="A1708" s="9"/>
      <c r="B1708" s="8"/>
      <c r="C1708" s="20"/>
      <c r="D1708" s="8"/>
      <c r="E1708" s="8"/>
    </row>
    <row r="1709" spans="1:5" x14ac:dyDescent="0.3">
      <c r="A1709" s="9"/>
      <c r="B1709" s="8"/>
      <c r="C1709" s="20"/>
      <c r="D1709" s="8"/>
      <c r="E1709" s="8"/>
    </row>
    <row r="1710" spans="1:5" x14ac:dyDescent="0.3">
      <c r="A1710" s="9"/>
      <c r="B1710" s="8"/>
      <c r="C1710" s="20"/>
      <c r="D1710" s="8"/>
      <c r="E1710" s="8"/>
    </row>
    <row r="1711" spans="1:5" x14ac:dyDescent="0.3">
      <c r="A1711" s="9"/>
      <c r="B1711" s="8"/>
      <c r="C1711" s="20"/>
      <c r="D1711" s="8"/>
      <c r="E1711" s="8"/>
    </row>
    <row r="1712" spans="1:5" x14ac:dyDescent="0.3">
      <c r="A1712" s="9"/>
      <c r="B1712" s="8"/>
      <c r="C1712" s="20"/>
      <c r="D1712" s="8"/>
      <c r="E1712" s="8"/>
    </row>
    <row r="1713" spans="1:5" x14ac:dyDescent="0.3">
      <c r="A1713" s="9"/>
      <c r="B1713" s="8"/>
      <c r="C1713" s="20"/>
      <c r="D1713" s="8"/>
      <c r="E1713" s="8"/>
    </row>
    <row r="1714" spans="1:5" x14ac:dyDescent="0.3">
      <c r="A1714" s="9"/>
      <c r="B1714" s="8"/>
      <c r="C1714" s="20"/>
      <c r="D1714" s="8"/>
      <c r="E1714" s="8"/>
    </row>
    <row r="1715" spans="1:5" x14ac:dyDescent="0.3">
      <c r="A1715" s="9"/>
      <c r="B1715" s="8"/>
      <c r="C1715" s="20"/>
      <c r="D1715" s="8"/>
      <c r="E1715" s="8"/>
    </row>
    <row r="1716" spans="1:5" x14ac:dyDescent="0.3">
      <c r="A1716" s="9"/>
      <c r="B1716" s="8"/>
      <c r="C1716" s="20"/>
      <c r="D1716" s="8"/>
      <c r="E1716" s="8"/>
    </row>
    <row r="1717" spans="1:5" x14ac:dyDescent="0.3">
      <c r="A1717" s="9"/>
      <c r="B1717" s="8"/>
      <c r="C1717" s="20"/>
      <c r="D1717" s="8"/>
      <c r="E1717" s="8"/>
    </row>
    <row r="1718" spans="1:5" x14ac:dyDescent="0.3">
      <c r="A1718" s="9"/>
      <c r="B1718" s="8"/>
      <c r="C1718" s="20"/>
      <c r="D1718" s="8"/>
      <c r="E1718" s="8"/>
    </row>
    <row r="1719" spans="1:5" x14ac:dyDescent="0.3">
      <c r="A1719" s="9"/>
      <c r="B1719" s="8"/>
      <c r="C1719" s="20"/>
      <c r="D1719" s="8"/>
      <c r="E1719" s="8"/>
    </row>
    <row r="1720" spans="1:5" x14ac:dyDescent="0.3">
      <c r="A1720" s="9"/>
      <c r="B1720" s="8"/>
      <c r="C1720" s="20"/>
      <c r="D1720" s="8"/>
      <c r="E1720" s="8"/>
    </row>
    <row r="1721" spans="1:5" x14ac:dyDescent="0.3">
      <c r="A1721" s="9"/>
      <c r="B1721" s="8"/>
      <c r="C1721" s="20"/>
      <c r="D1721" s="8"/>
      <c r="E1721" s="8"/>
    </row>
    <row r="1722" spans="1:5" x14ac:dyDescent="0.3">
      <c r="A1722" s="9"/>
      <c r="B1722" s="8"/>
      <c r="C1722" s="20"/>
      <c r="D1722" s="8"/>
      <c r="E1722" s="8"/>
    </row>
    <row r="1723" spans="1:5" x14ac:dyDescent="0.3">
      <c r="A1723" s="9"/>
      <c r="B1723" s="8"/>
      <c r="C1723" s="20"/>
      <c r="D1723" s="8"/>
      <c r="E1723" s="8"/>
    </row>
    <row r="1724" spans="1:5" x14ac:dyDescent="0.3">
      <c r="A1724" s="9"/>
      <c r="B1724" s="8"/>
      <c r="C1724" s="20"/>
      <c r="D1724" s="8"/>
      <c r="E1724" s="8"/>
    </row>
    <row r="1725" spans="1:5" x14ac:dyDescent="0.3">
      <c r="A1725" s="9"/>
      <c r="B1725" s="8"/>
      <c r="C1725" s="20"/>
      <c r="D1725" s="8"/>
      <c r="E1725" s="8"/>
    </row>
    <row r="1726" spans="1:5" x14ac:dyDescent="0.3">
      <c r="A1726" s="9"/>
      <c r="B1726" s="8"/>
      <c r="C1726" s="20"/>
      <c r="D1726" s="8"/>
      <c r="E1726" s="8"/>
    </row>
    <row r="1727" spans="1:5" x14ac:dyDescent="0.3">
      <c r="A1727" s="9"/>
      <c r="B1727" s="8"/>
      <c r="C1727" s="20"/>
      <c r="D1727" s="8"/>
      <c r="E1727" s="8"/>
    </row>
    <row r="1728" spans="1:5" x14ac:dyDescent="0.3">
      <c r="A1728" s="9"/>
      <c r="B1728" s="8"/>
      <c r="C1728" s="20"/>
      <c r="D1728" s="8"/>
      <c r="E1728" s="8"/>
    </row>
    <row r="1729" spans="1:5" x14ac:dyDescent="0.3">
      <c r="A1729" s="9"/>
      <c r="B1729" s="8"/>
      <c r="C1729" s="20"/>
      <c r="D1729" s="8"/>
      <c r="E1729" s="8"/>
    </row>
    <row r="1730" spans="1:5" x14ac:dyDescent="0.3">
      <c r="A1730" s="9"/>
      <c r="B1730" s="8"/>
      <c r="C1730" s="20"/>
      <c r="D1730" s="8"/>
      <c r="E1730" s="8"/>
    </row>
    <row r="1731" spans="1:5" x14ac:dyDescent="0.3">
      <c r="A1731" s="9"/>
      <c r="B1731" s="8"/>
      <c r="C1731" s="20"/>
      <c r="D1731" s="8"/>
      <c r="E1731" s="8"/>
    </row>
    <row r="1732" spans="1:5" x14ac:dyDescent="0.3">
      <c r="A1732" s="9"/>
      <c r="B1732" s="8"/>
      <c r="C1732" s="20"/>
      <c r="D1732" s="8"/>
      <c r="E1732" s="8"/>
    </row>
    <row r="1733" spans="1:5" x14ac:dyDescent="0.3">
      <c r="A1733" s="9"/>
      <c r="B1733" s="8"/>
      <c r="C1733" s="20"/>
      <c r="D1733" s="8"/>
      <c r="E1733" s="8"/>
    </row>
    <row r="1734" spans="1:5" x14ac:dyDescent="0.3">
      <c r="A1734" s="9"/>
      <c r="B1734" s="8"/>
      <c r="C1734" s="20"/>
      <c r="D1734" s="8"/>
      <c r="E1734" s="8"/>
    </row>
    <row r="1735" spans="1:5" x14ac:dyDescent="0.3">
      <c r="A1735" s="9"/>
      <c r="B1735" s="8"/>
      <c r="C1735" s="20"/>
      <c r="D1735" s="8"/>
      <c r="E1735" s="8"/>
    </row>
    <row r="1736" spans="1:5" x14ac:dyDescent="0.3">
      <c r="A1736" s="9"/>
      <c r="B1736" s="8"/>
      <c r="C1736" s="20"/>
      <c r="D1736" s="8"/>
      <c r="E1736" s="8"/>
    </row>
    <row r="1737" spans="1:5" x14ac:dyDescent="0.3">
      <c r="A1737" s="9"/>
      <c r="B1737" s="8"/>
      <c r="C1737" s="20"/>
      <c r="D1737" s="8"/>
      <c r="E1737" s="8"/>
    </row>
    <row r="1738" spans="1:5" x14ac:dyDescent="0.3">
      <c r="A1738" s="9"/>
      <c r="B1738" s="8"/>
      <c r="C1738" s="20"/>
      <c r="D1738" s="8"/>
      <c r="E1738" s="8"/>
    </row>
    <row r="1739" spans="1:5" x14ac:dyDescent="0.3">
      <c r="A1739" s="9"/>
      <c r="B1739" s="8"/>
      <c r="C1739" s="20"/>
      <c r="D1739" s="8"/>
      <c r="E1739" s="8"/>
    </row>
    <row r="1740" spans="1:5" x14ac:dyDescent="0.3">
      <c r="A1740" s="9"/>
      <c r="B1740" s="8"/>
      <c r="C1740" s="20"/>
      <c r="D1740" s="8"/>
      <c r="E1740" s="8"/>
    </row>
    <row r="1741" spans="1:5" x14ac:dyDescent="0.3">
      <c r="A1741" s="9"/>
      <c r="B1741" s="8"/>
      <c r="C1741" s="20"/>
      <c r="D1741" s="8"/>
      <c r="E1741" s="8"/>
    </row>
    <row r="1742" spans="1:5" x14ac:dyDescent="0.3">
      <c r="A1742" s="9"/>
      <c r="B1742" s="8"/>
      <c r="C1742" s="20"/>
      <c r="D1742" s="8"/>
      <c r="E1742" s="8"/>
    </row>
    <row r="1743" spans="1:5" x14ac:dyDescent="0.3">
      <c r="A1743" s="9"/>
      <c r="B1743" s="8"/>
      <c r="C1743" s="20"/>
      <c r="D1743" s="8"/>
      <c r="E1743" s="8"/>
    </row>
    <row r="1744" spans="1:5" x14ac:dyDescent="0.3">
      <c r="A1744" s="9"/>
      <c r="B1744" s="8"/>
      <c r="C1744" s="20"/>
      <c r="D1744" s="8"/>
      <c r="E1744" s="8"/>
    </row>
    <row r="1745" spans="1:5" x14ac:dyDescent="0.3">
      <c r="A1745" s="9"/>
      <c r="B1745" s="8"/>
      <c r="C1745" s="20"/>
      <c r="D1745" s="8"/>
      <c r="E1745" s="8"/>
    </row>
    <row r="1746" spans="1:5" x14ac:dyDescent="0.3">
      <c r="A1746" s="9"/>
      <c r="B1746" s="8"/>
      <c r="C1746" s="20"/>
      <c r="D1746" s="8"/>
      <c r="E1746" s="8"/>
    </row>
    <row r="1747" spans="1:5" x14ac:dyDescent="0.3">
      <c r="A1747" s="9"/>
      <c r="B1747" s="8"/>
      <c r="C1747" s="20"/>
      <c r="D1747" s="8"/>
      <c r="E1747" s="8"/>
    </row>
    <row r="1748" spans="1:5" x14ac:dyDescent="0.3">
      <c r="A1748" s="9"/>
      <c r="B1748" s="8"/>
      <c r="C1748" s="20"/>
      <c r="D1748" s="8"/>
      <c r="E1748" s="8"/>
    </row>
    <row r="1749" spans="1:5" x14ac:dyDescent="0.3">
      <c r="A1749" s="9"/>
      <c r="B1749" s="8"/>
      <c r="C1749" s="20"/>
      <c r="D1749" s="8"/>
      <c r="E1749" s="8"/>
    </row>
    <row r="1750" spans="1:5" x14ac:dyDescent="0.3">
      <c r="A1750" s="9"/>
      <c r="B1750" s="8"/>
      <c r="C1750" s="20"/>
      <c r="D1750" s="8"/>
      <c r="E1750" s="8"/>
    </row>
    <row r="1751" spans="1:5" x14ac:dyDescent="0.3">
      <c r="A1751" s="9"/>
      <c r="B1751" s="8"/>
      <c r="C1751" s="20"/>
      <c r="D1751" s="8"/>
      <c r="E1751" s="8"/>
    </row>
    <row r="1752" spans="1:5" x14ac:dyDescent="0.3">
      <c r="A1752" s="9"/>
      <c r="B1752" s="8"/>
      <c r="C1752" s="20"/>
      <c r="D1752" s="8"/>
      <c r="E1752" s="8"/>
    </row>
    <row r="1753" spans="1:5" x14ac:dyDescent="0.3">
      <c r="A1753" s="9"/>
      <c r="B1753" s="8"/>
      <c r="C1753" s="20"/>
      <c r="D1753" s="8"/>
      <c r="E1753" s="8"/>
    </row>
    <row r="1754" spans="1:5" x14ac:dyDescent="0.3">
      <c r="A1754" s="9"/>
      <c r="B1754" s="8"/>
      <c r="C1754" s="20"/>
      <c r="D1754" s="8"/>
      <c r="E1754" s="8"/>
    </row>
    <row r="1755" spans="1:5" x14ac:dyDescent="0.3">
      <c r="A1755" s="9"/>
      <c r="B1755" s="8"/>
      <c r="C1755" s="20"/>
      <c r="D1755" s="8"/>
      <c r="E1755" s="8"/>
    </row>
    <row r="1756" spans="1:5" x14ac:dyDescent="0.3">
      <c r="A1756" s="9"/>
      <c r="B1756" s="8"/>
      <c r="C1756" s="20"/>
      <c r="D1756" s="8"/>
      <c r="E1756" s="8"/>
    </row>
    <row r="1757" spans="1:5" x14ac:dyDescent="0.3">
      <c r="A1757" s="9"/>
      <c r="B1757" s="8"/>
      <c r="C1757" s="20"/>
      <c r="D1757" s="8"/>
      <c r="E1757" s="8"/>
    </row>
    <row r="1758" spans="1:5" x14ac:dyDescent="0.3">
      <c r="A1758" s="9"/>
      <c r="B1758" s="8"/>
      <c r="C1758" s="20"/>
      <c r="D1758" s="8"/>
      <c r="E1758" s="8"/>
    </row>
    <row r="1759" spans="1:5" x14ac:dyDescent="0.3">
      <c r="A1759" s="9"/>
      <c r="B1759" s="8"/>
      <c r="C1759" s="20"/>
      <c r="D1759" s="8"/>
      <c r="E1759" s="8"/>
    </row>
    <row r="1760" spans="1:5" x14ac:dyDescent="0.3">
      <c r="A1760" s="9"/>
      <c r="B1760" s="8"/>
      <c r="C1760" s="20"/>
      <c r="D1760" s="8"/>
      <c r="E1760" s="8"/>
    </row>
    <row r="1761" spans="1:5" x14ac:dyDescent="0.3">
      <c r="A1761" s="9"/>
      <c r="B1761" s="8"/>
      <c r="C1761" s="20"/>
      <c r="D1761" s="8"/>
      <c r="E1761" s="8"/>
    </row>
    <row r="1762" spans="1:5" x14ac:dyDescent="0.3">
      <c r="A1762" s="9"/>
      <c r="B1762" s="8"/>
      <c r="C1762" s="20"/>
      <c r="D1762" s="8"/>
      <c r="E1762" s="8"/>
    </row>
    <row r="1763" spans="1:5" x14ac:dyDescent="0.3">
      <c r="A1763" s="9"/>
      <c r="B1763" s="8"/>
      <c r="C1763" s="20"/>
      <c r="D1763" s="8"/>
      <c r="E1763" s="8"/>
    </row>
    <row r="1764" spans="1:5" x14ac:dyDescent="0.3">
      <c r="A1764" s="9"/>
      <c r="B1764" s="8"/>
      <c r="C1764" s="20"/>
      <c r="D1764" s="8"/>
      <c r="E1764" s="8"/>
    </row>
    <row r="1765" spans="1:5" x14ac:dyDescent="0.3">
      <c r="A1765" s="9"/>
      <c r="B1765" s="8"/>
      <c r="C1765" s="20"/>
      <c r="D1765" s="8"/>
      <c r="E1765" s="8"/>
    </row>
    <row r="1766" spans="1:5" x14ac:dyDescent="0.3">
      <c r="A1766" s="9"/>
      <c r="B1766" s="8"/>
      <c r="C1766" s="20"/>
      <c r="D1766" s="8"/>
      <c r="E1766" s="8"/>
    </row>
    <row r="1767" spans="1:5" x14ac:dyDescent="0.3">
      <c r="A1767" s="9"/>
      <c r="B1767" s="8"/>
      <c r="C1767" s="20"/>
      <c r="D1767" s="8"/>
      <c r="E1767" s="8"/>
    </row>
    <row r="1768" spans="1:5" x14ac:dyDescent="0.3">
      <c r="A1768" s="9"/>
      <c r="B1768" s="8"/>
      <c r="C1768" s="20"/>
      <c r="D1768" s="8"/>
      <c r="E1768" s="8"/>
    </row>
    <row r="1769" spans="1:5" x14ac:dyDescent="0.3">
      <c r="A1769" s="9"/>
      <c r="B1769" s="8"/>
      <c r="C1769" s="20"/>
      <c r="D1769" s="8"/>
      <c r="E1769" s="8"/>
    </row>
    <row r="1770" spans="1:5" x14ac:dyDescent="0.3">
      <c r="A1770" s="9"/>
      <c r="B1770" s="8"/>
      <c r="C1770" s="20"/>
      <c r="D1770" s="8"/>
      <c r="E1770" s="8"/>
    </row>
    <row r="1771" spans="1:5" x14ac:dyDescent="0.3">
      <c r="A1771" s="9"/>
      <c r="B1771" s="8"/>
      <c r="C1771" s="20"/>
      <c r="D1771" s="8"/>
      <c r="E1771" s="8"/>
    </row>
    <row r="1772" spans="1:5" x14ac:dyDescent="0.3">
      <c r="A1772" s="9"/>
      <c r="B1772" s="8"/>
      <c r="C1772" s="20"/>
      <c r="D1772" s="8"/>
      <c r="E1772" s="8"/>
    </row>
    <row r="1773" spans="1:5" x14ac:dyDescent="0.3">
      <c r="A1773" s="9"/>
      <c r="B1773" s="8"/>
      <c r="C1773" s="20"/>
      <c r="D1773" s="8"/>
      <c r="E1773" s="8"/>
    </row>
    <row r="1774" spans="1:5" x14ac:dyDescent="0.3">
      <c r="A1774" s="9"/>
      <c r="B1774" s="8"/>
      <c r="C1774" s="20"/>
      <c r="D1774" s="8"/>
      <c r="E1774" s="8"/>
    </row>
    <row r="1775" spans="1:5" x14ac:dyDescent="0.3">
      <c r="A1775" s="9"/>
      <c r="B1775" s="8"/>
      <c r="C1775" s="20"/>
      <c r="D1775" s="8"/>
      <c r="E1775" s="8"/>
    </row>
    <row r="1776" spans="1:5" x14ac:dyDescent="0.3">
      <c r="A1776" s="9"/>
      <c r="B1776" s="8"/>
      <c r="C1776" s="20"/>
      <c r="D1776" s="8"/>
      <c r="E1776" s="8"/>
    </row>
    <row r="1777" spans="1:5" x14ac:dyDescent="0.3">
      <c r="A1777" s="9"/>
      <c r="B1777" s="8"/>
      <c r="C1777" s="20"/>
      <c r="D1777" s="8"/>
      <c r="E1777" s="8"/>
    </row>
    <row r="1778" spans="1:5" x14ac:dyDescent="0.3">
      <c r="A1778" s="9"/>
      <c r="B1778" s="8"/>
      <c r="C1778" s="20"/>
      <c r="D1778" s="8"/>
      <c r="E1778" s="8"/>
    </row>
    <row r="1779" spans="1:5" x14ac:dyDescent="0.3">
      <c r="A1779" s="9"/>
      <c r="B1779" s="8"/>
      <c r="C1779" s="20"/>
      <c r="D1779" s="8"/>
      <c r="E1779" s="8"/>
    </row>
    <row r="1780" spans="1:5" x14ac:dyDescent="0.3">
      <c r="A1780" s="9"/>
      <c r="B1780" s="8"/>
      <c r="C1780" s="20"/>
      <c r="D1780" s="8"/>
      <c r="E1780" s="8"/>
    </row>
    <row r="1781" spans="1:5" x14ac:dyDescent="0.3">
      <c r="A1781" s="9"/>
      <c r="B1781" s="8"/>
      <c r="C1781" s="20"/>
      <c r="D1781" s="8"/>
      <c r="E1781" s="8"/>
    </row>
    <row r="1782" spans="1:5" x14ac:dyDescent="0.3">
      <c r="A1782" s="9"/>
      <c r="B1782" s="8"/>
      <c r="C1782" s="20"/>
      <c r="D1782" s="8"/>
      <c r="E1782" s="8"/>
    </row>
    <row r="1783" spans="1:5" x14ac:dyDescent="0.3">
      <c r="A1783" s="9"/>
      <c r="B1783" s="8"/>
      <c r="C1783" s="20"/>
      <c r="D1783" s="8"/>
      <c r="E1783" s="8"/>
    </row>
    <row r="1784" spans="1:5" x14ac:dyDescent="0.3">
      <c r="A1784" s="9"/>
      <c r="B1784" s="8"/>
      <c r="C1784" s="20"/>
      <c r="D1784" s="8"/>
      <c r="E1784" s="8"/>
    </row>
    <row r="1785" spans="1:5" x14ac:dyDescent="0.3">
      <c r="A1785" s="9"/>
      <c r="B1785" s="8"/>
      <c r="C1785" s="20"/>
      <c r="D1785" s="8"/>
      <c r="E1785" s="8"/>
    </row>
    <row r="1786" spans="1:5" x14ac:dyDescent="0.3">
      <c r="A1786" s="9"/>
      <c r="B1786" s="8"/>
      <c r="C1786" s="20"/>
      <c r="D1786" s="8"/>
      <c r="E1786" s="8"/>
    </row>
    <row r="1787" spans="1:5" x14ac:dyDescent="0.3">
      <c r="A1787" s="9"/>
      <c r="B1787" s="8"/>
      <c r="C1787" s="20"/>
      <c r="D1787" s="8"/>
      <c r="E1787" s="8"/>
    </row>
    <row r="1788" spans="1:5" x14ac:dyDescent="0.3">
      <c r="A1788" s="9"/>
      <c r="B1788" s="8"/>
      <c r="C1788" s="20"/>
      <c r="D1788" s="8"/>
      <c r="E1788" s="8"/>
    </row>
    <row r="1789" spans="1:5" x14ac:dyDescent="0.3">
      <c r="A1789" s="9"/>
      <c r="B1789" s="8"/>
      <c r="C1789" s="20"/>
      <c r="D1789" s="8"/>
      <c r="E1789" s="8"/>
    </row>
    <row r="1790" spans="1:5" x14ac:dyDescent="0.3">
      <c r="A1790" s="9"/>
      <c r="B1790" s="8"/>
      <c r="C1790" s="20"/>
      <c r="D1790" s="8"/>
      <c r="E1790" s="8"/>
    </row>
    <row r="1791" spans="1:5" x14ac:dyDescent="0.3">
      <c r="A1791" s="9"/>
      <c r="B1791" s="8"/>
      <c r="C1791" s="20"/>
      <c r="D1791" s="8"/>
      <c r="E1791" s="8"/>
    </row>
    <row r="1792" spans="1:5" x14ac:dyDescent="0.3">
      <c r="A1792" s="9"/>
      <c r="B1792" s="8"/>
      <c r="C1792" s="20"/>
      <c r="D1792" s="8"/>
      <c r="E1792" s="8"/>
    </row>
    <row r="1793" spans="1:5" x14ac:dyDescent="0.3">
      <c r="A1793" s="9"/>
      <c r="B1793" s="8"/>
      <c r="C1793" s="20"/>
      <c r="D1793" s="8"/>
      <c r="E1793" s="8"/>
    </row>
    <row r="1794" spans="1:5" x14ac:dyDescent="0.3">
      <c r="A1794" s="9"/>
      <c r="B1794" s="8"/>
      <c r="C1794" s="20"/>
      <c r="D1794" s="8"/>
      <c r="E1794" s="8"/>
    </row>
    <row r="1795" spans="1:5" x14ac:dyDescent="0.3">
      <c r="A1795" s="9"/>
      <c r="B1795" s="8"/>
      <c r="C1795" s="20"/>
      <c r="D1795" s="8"/>
      <c r="E1795" s="8"/>
    </row>
    <row r="1796" spans="1:5" x14ac:dyDescent="0.3">
      <c r="A1796" s="9"/>
      <c r="B1796" s="8"/>
      <c r="C1796" s="20"/>
      <c r="D1796" s="8"/>
      <c r="E1796" s="8"/>
    </row>
    <row r="1797" spans="1:5" x14ac:dyDescent="0.3">
      <c r="A1797" s="9"/>
      <c r="B1797" s="8"/>
      <c r="C1797" s="20"/>
      <c r="D1797" s="8"/>
      <c r="E1797" s="8"/>
    </row>
    <row r="1798" spans="1:5" x14ac:dyDescent="0.3">
      <c r="A1798" s="9"/>
      <c r="B1798" s="8"/>
      <c r="C1798" s="20"/>
      <c r="D1798" s="8"/>
      <c r="E1798" s="8"/>
    </row>
    <row r="1799" spans="1:5" x14ac:dyDescent="0.3">
      <c r="A1799" s="9"/>
      <c r="B1799" s="8"/>
      <c r="C1799" s="20"/>
      <c r="D1799" s="8"/>
      <c r="E1799" s="8"/>
    </row>
    <row r="1800" spans="1:5" x14ac:dyDescent="0.3">
      <c r="A1800" s="9"/>
      <c r="B1800" s="8"/>
      <c r="C1800" s="20"/>
      <c r="D1800" s="8"/>
      <c r="E1800" s="8"/>
    </row>
    <row r="1801" spans="1:5" x14ac:dyDescent="0.3">
      <c r="A1801" s="9"/>
      <c r="B1801" s="8"/>
      <c r="C1801" s="20"/>
      <c r="D1801" s="8"/>
      <c r="E1801" s="8"/>
    </row>
    <row r="1802" spans="1:5" x14ac:dyDescent="0.3">
      <c r="A1802" s="9"/>
      <c r="B1802" s="8"/>
      <c r="C1802" s="20"/>
      <c r="D1802" s="8"/>
      <c r="E1802" s="8"/>
    </row>
    <row r="1803" spans="1:5" x14ac:dyDescent="0.3">
      <c r="A1803" s="9"/>
      <c r="B1803" s="8"/>
      <c r="C1803" s="20"/>
      <c r="D1803" s="8"/>
      <c r="E1803" s="8"/>
    </row>
    <row r="1804" spans="1:5" x14ac:dyDescent="0.3">
      <c r="A1804" s="9"/>
      <c r="B1804" s="8"/>
      <c r="C1804" s="20"/>
      <c r="D1804" s="8"/>
      <c r="E1804" s="8"/>
    </row>
    <row r="1805" spans="1:5" x14ac:dyDescent="0.3">
      <c r="A1805" s="9"/>
      <c r="B1805" s="8"/>
      <c r="C1805" s="20"/>
      <c r="D1805" s="8"/>
      <c r="E1805" s="8"/>
    </row>
    <row r="1806" spans="1:5" x14ac:dyDescent="0.3">
      <c r="A1806" s="9"/>
      <c r="B1806" s="8"/>
      <c r="C1806" s="20"/>
      <c r="D1806" s="8"/>
      <c r="E1806" s="8"/>
    </row>
    <row r="1807" spans="1:5" x14ac:dyDescent="0.3">
      <c r="A1807" s="9"/>
      <c r="B1807" s="8"/>
      <c r="C1807" s="20"/>
      <c r="D1807" s="8"/>
      <c r="E1807" s="8"/>
    </row>
    <row r="1808" spans="1:5" x14ac:dyDescent="0.3">
      <c r="A1808" s="9"/>
      <c r="B1808" s="8"/>
      <c r="C1808" s="20"/>
      <c r="D1808" s="8"/>
      <c r="E1808" s="8"/>
    </row>
    <row r="1809" spans="1:5" x14ac:dyDescent="0.3">
      <c r="A1809" s="9"/>
      <c r="B1809" s="8"/>
      <c r="C1809" s="20"/>
      <c r="D1809" s="8"/>
      <c r="E1809" s="8"/>
    </row>
    <row r="1810" spans="1:5" x14ac:dyDescent="0.3">
      <c r="A1810" s="9"/>
      <c r="B1810" s="8"/>
      <c r="C1810" s="20"/>
      <c r="D1810" s="8"/>
      <c r="E1810" s="8"/>
    </row>
    <row r="1811" spans="1:5" x14ac:dyDescent="0.3">
      <c r="A1811" s="9"/>
      <c r="B1811" s="8"/>
      <c r="C1811" s="20"/>
      <c r="D1811" s="8"/>
      <c r="E1811" s="8"/>
    </row>
    <row r="1812" spans="1:5" x14ac:dyDescent="0.3">
      <c r="A1812" s="9"/>
      <c r="B1812" s="8"/>
      <c r="C1812" s="20"/>
      <c r="D1812" s="8"/>
      <c r="E1812" s="8"/>
    </row>
    <row r="1813" spans="1:5" x14ac:dyDescent="0.3">
      <c r="A1813" s="9"/>
      <c r="B1813" s="8"/>
      <c r="C1813" s="20"/>
      <c r="D1813" s="8"/>
      <c r="E1813" s="8"/>
    </row>
    <row r="1814" spans="1:5" x14ac:dyDescent="0.3">
      <c r="A1814" s="9"/>
      <c r="B1814" s="8"/>
      <c r="C1814" s="20"/>
      <c r="D1814" s="8"/>
      <c r="E1814" s="8"/>
    </row>
    <row r="1815" spans="1:5" x14ac:dyDescent="0.3">
      <c r="A1815" s="9"/>
      <c r="B1815" s="8"/>
      <c r="C1815" s="20"/>
      <c r="D1815" s="8"/>
      <c r="E1815" s="8"/>
    </row>
    <row r="1816" spans="1:5" x14ac:dyDescent="0.3">
      <c r="A1816" s="9"/>
      <c r="B1816" s="8"/>
      <c r="C1816" s="20"/>
      <c r="D1816" s="8"/>
      <c r="E1816" s="8"/>
    </row>
    <row r="1817" spans="1:5" x14ac:dyDescent="0.3">
      <c r="A1817" s="9"/>
      <c r="B1817" s="8"/>
      <c r="C1817" s="20"/>
      <c r="D1817" s="8"/>
      <c r="E1817" s="8"/>
    </row>
    <row r="1818" spans="1:5" x14ac:dyDescent="0.3">
      <c r="A1818" s="9"/>
      <c r="B1818" s="8"/>
      <c r="C1818" s="20"/>
      <c r="D1818" s="8"/>
      <c r="E1818" s="8"/>
    </row>
    <row r="1819" spans="1:5" x14ac:dyDescent="0.3">
      <c r="A1819" s="9"/>
      <c r="B1819" s="8"/>
      <c r="C1819" s="20"/>
      <c r="D1819" s="8"/>
      <c r="E1819" s="8"/>
    </row>
    <row r="1820" spans="1:5" x14ac:dyDescent="0.3">
      <c r="A1820" s="9"/>
      <c r="B1820" s="8"/>
      <c r="C1820" s="20"/>
      <c r="D1820" s="8"/>
      <c r="E1820" s="8"/>
    </row>
    <row r="1821" spans="1:5" x14ac:dyDescent="0.3">
      <c r="A1821" s="9"/>
      <c r="B1821" s="8"/>
      <c r="C1821" s="20"/>
      <c r="D1821" s="8"/>
      <c r="E1821" s="8"/>
    </row>
    <row r="1822" spans="1:5" x14ac:dyDescent="0.3">
      <c r="A1822" s="9"/>
      <c r="B1822" s="8"/>
      <c r="C1822" s="20"/>
      <c r="D1822" s="8"/>
      <c r="E1822" s="8"/>
    </row>
    <row r="1823" spans="1:5" x14ac:dyDescent="0.3">
      <c r="A1823" s="9"/>
      <c r="B1823" s="8"/>
      <c r="C1823" s="20"/>
      <c r="D1823" s="8"/>
      <c r="E1823" s="8"/>
    </row>
    <row r="1824" spans="1:5" x14ac:dyDescent="0.3">
      <c r="A1824" s="9"/>
      <c r="B1824" s="8"/>
      <c r="C1824" s="20"/>
      <c r="D1824" s="8"/>
      <c r="E1824" s="8"/>
    </row>
    <row r="1825" spans="1:5" x14ac:dyDescent="0.3">
      <c r="A1825" s="9"/>
      <c r="B1825" s="8"/>
      <c r="C1825" s="20"/>
      <c r="D1825" s="8"/>
      <c r="E1825" s="8"/>
    </row>
    <row r="1826" spans="1:5" x14ac:dyDescent="0.3">
      <c r="A1826" s="9"/>
      <c r="B1826" s="8"/>
      <c r="C1826" s="20"/>
      <c r="D1826" s="8"/>
      <c r="E1826" s="8"/>
    </row>
    <row r="1827" spans="1:5" x14ac:dyDescent="0.3">
      <c r="A1827" s="9"/>
      <c r="B1827" s="8"/>
      <c r="C1827" s="20"/>
      <c r="D1827" s="8"/>
      <c r="E1827" s="8"/>
    </row>
    <row r="1828" spans="1:5" x14ac:dyDescent="0.3">
      <c r="A1828" s="9"/>
      <c r="B1828" s="8"/>
      <c r="C1828" s="20"/>
      <c r="D1828" s="8"/>
      <c r="E1828" s="8"/>
    </row>
    <row r="1829" spans="1:5" x14ac:dyDescent="0.3">
      <c r="A1829" s="9"/>
      <c r="B1829" s="8"/>
      <c r="C1829" s="20"/>
      <c r="D1829" s="8"/>
      <c r="E1829" s="8"/>
    </row>
    <row r="1830" spans="1:5" x14ac:dyDescent="0.3">
      <c r="A1830" s="9"/>
      <c r="B1830" s="8"/>
      <c r="C1830" s="20"/>
      <c r="D1830" s="8"/>
      <c r="E1830" s="8"/>
    </row>
    <row r="1831" spans="1:5" x14ac:dyDescent="0.3">
      <c r="A1831" s="9"/>
      <c r="B1831" s="8"/>
      <c r="C1831" s="20"/>
      <c r="D1831" s="8"/>
      <c r="E1831" s="8"/>
    </row>
    <row r="1832" spans="1:5" x14ac:dyDescent="0.3">
      <c r="A1832" s="9"/>
      <c r="B1832" s="8"/>
      <c r="C1832" s="20"/>
      <c r="D1832" s="8"/>
      <c r="E1832" s="8"/>
    </row>
    <row r="1833" spans="1:5" x14ac:dyDescent="0.3">
      <c r="A1833" s="9"/>
      <c r="B1833" s="8"/>
      <c r="C1833" s="20"/>
      <c r="D1833" s="8"/>
      <c r="E1833" s="8"/>
    </row>
    <row r="1834" spans="1:5" x14ac:dyDescent="0.3">
      <c r="A1834" s="9"/>
      <c r="B1834" s="8"/>
      <c r="C1834" s="20"/>
      <c r="D1834" s="8"/>
      <c r="E1834" s="8"/>
    </row>
    <row r="1835" spans="1:5" x14ac:dyDescent="0.3">
      <c r="A1835" s="9"/>
      <c r="B1835" s="8"/>
      <c r="C1835" s="20"/>
      <c r="D1835" s="8"/>
      <c r="E1835" s="8"/>
    </row>
    <row r="1836" spans="1:5" x14ac:dyDescent="0.3">
      <c r="A1836" s="9"/>
      <c r="B1836" s="8"/>
      <c r="C1836" s="20"/>
      <c r="D1836" s="8"/>
      <c r="E1836" s="8"/>
    </row>
    <row r="1837" spans="1:5" x14ac:dyDescent="0.3">
      <c r="A1837" s="9"/>
      <c r="B1837" s="8"/>
      <c r="C1837" s="20"/>
      <c r="D1837" s="8"/>
      <c r="E1837" s="8"/>
    </row>
    <row r="1838" spans="1:5" x14ac:dyDescent="0.3">
      <c r="A1838" s="9"/>
      <c r="B1838" s="8"/>
      <c r="C1838" s="20"/>
      <c r="D1838" s="8"/>
      <c r="E1838" s="8"/>
    </row>
    <row r="1839" spans="1:5" x14ac:dyDescent="0.3">
      <c r="A1839" s="9"/>
      <c r="B1839" s="8"/>
      <c r="C1839" s="20"/>
      <c r="D1839" s="8"/>
      <c r="E1839" s="8"/>
    </row>
    <row r="1840" spans="1:5" x14ac:dyDescent="0.3">
      <c r="A1840" s="9"/>
      <c r="B1840" s="8"/>
      <c r="C1840" s="20"/>
      <c r="D1840" s="8"/>
      <c r="E1840" s="8"/>
    </row>
    <row r="1841" spans="1:5" x14ac:dyDescent="0.3">
      <c r="A1841" s="9"/>
      <c r="B1841" s="8"/>
      <c r="C1841" s="20"/>
      <c r="D1841" s="8"/>
      <c r="E1841" s="8"/>
    </row>
    <row r="1842" spans="1:5" x14ac:dyDescent="0.3">
      <c r="A1842" s="9"/>
      <c r="B1842" s="8"/>
      <c r="C1842" s="20"/>
      <c r="D1842" s="8"/>
      <c r="E1842" s="8"/>
    </row>
    <row r="1843" spans="1:5" x14ac:dyDescent="0.3">
      <c r="A1843" s="9"/>
      <c r="B1843" s="8"/>
      <c r="C1843" s="20"/>
      <c r="D1843" s="8"/>
      <c r="E1843" s="8"/>
    </row>
    <row r="1844" spans="1:5" x14ac:dyDescent="0.3">
      <c r="A1844" s="9"/>
      <c r="B1844" s="8"/>
      <c r="C1844" s="20"/>
      <c r="D1844" s="8"/>
      <c r="E1844" s="8"/>
    </row>
    <row r="1845" spans="1:5" x14ac:dyDescent="0.3">
      <c r="A1845" s="9"/>
      <c r="B1845" s="8"/>
      <c r="C1845" s="20"/>
      <c r="D1845" s="8"/>
      <c r="E1845" s="8"/>
    </row>
    <row r="1846" spans="1:5" x14ac:dyDescent="0.3">
      <c r="A1846" s="9"/>
      <c r="B1846" s="8"/>
      <c r="C1846" s="20"/>
      <c r="D1846" s="8"/>
      <c r="E1846" s="8"/>
    </row>
    <row r="1847" spans="1:5" x14ac:dyDescent="0.3">
      <c r="A1847" s="9"/>
      <c r="B1847" s="8"/>
      <c r="C1847" s="20"/>
      <c r="D1847" s="8"/>
      <c r="E1847" s="8"/>
    </row>
    <row r="1848" spans="1:5" x14ac:dyDescent="0.3">
      <c r="A1848" s="9"/>
      <c r="B1848" s="8"/>
      <c r="C1848" s="20"/>
      <c r="D1848" s="8"/>
      <c r="E1848" s="8"/>
    </row>
    <row r="1849" spans="1:5" x14ac:dyDescent="0.3">
      <c r="A1849" s="9"/>
      <c r="B1849" s="8"/>
      <c r="C1849" s="20"/>
      <c r="D1849" s="8"/>
      <c r="E1849" s="8"/>
    </row>
    <row r="1850" spans="1:5" x14ac:dyDescent="0.3">
      <c r="A1850" s="9"/>
      <c r="B1850" s="8"/>
      <c r="C1850" s="20"/>
      <c r="D1850" s="8"/>
      <c r="E1850" s="8"/>
    </row>
    <row r="1851" spans="1:5" x14ac:dyDescent="0.3">
      <c r="A1851" s="9"/>
      <c r="B1851" s="8"/>
      <c r="C1851" s="20"/>
      <c r="D1851" s="8"/>
      <c r="E1851" s="8"/>
    </row>
    <row r="1852" spans="1:5" x14ac:dyDescent="0.3">
      <c r="A1852" s="9"/>
      <c r="B1852" s="8"/>
      <c r="C1852" s="20"/>
      <c r="D1852" s="8"/>
      <c r="E1852" s="8"/>
    </row>
    <row r="1853" spans="1:5" x14ac:dyDescent="0.3">
      <c r="A1853" s="9"/>
      <c r="B1853" s="8"/>
      <c r="C1853" s="20"/>
      <c r="D1853" s="8"/>
      <c r="E1853" s="8"/>
    </row>
    <row r="1854" spans="1:5" x14ac:dyDescent="0.3">
      <c r="A1854" s="9"/>
      <c r="B1854" s="8"/>
      <c r="C1854" s="20"/>
      <c r="D1854" s="8"/>
      <c r="E1854" s="8"/>
    </row>
    <row r="1855" spans="1:5" x14ac:dyDescent="0.3">
      <c r="A1855" s="9"/>
      <c r="B1855" s="8"/>
      <c r="C1855" s="20"/>
      <c r="D1855" s="8"/>
      <c r="E1855" s="8"/>
    </row>
    <row r="1856" spans="1:5" x14ac:dyDescent="0.3">
      <c r="A1856" s="9"/>
      <c r="B1856" s="8"/>
      <c r="C1856" s="20"/>
      <c r="D1856" s="8"/>
      <c r="E1856" s="8"/>
    </row>
    <row r="1857" spans="1:5" x14ac:dyDescent="0.3">
      <c r="A1857" s="9"/>
      <c r="B1857" s="8"/>
      <c r="C1857" s="20"/>
      <c r="D1857" s="8"/>
      <c r="E1857" s="8"/>
    </row>
    <row r="1858" spans="1:5" x14ac:dyDescent="0.3">
      <c r="A1858" s="9"/>
      <c r="B1858" s="8"/>
      <c r="C1858" s="20"/>
      <c r="D1858" s="8"/>
      <c r="E1858" s="8"/>
    </row>
    <row r="1859" spans="1:5" x14ac:dyDescent="0.3">
      <c r="A1859" s="9"/>
      <c r="B1859" s="8"/>
      <c r="C1859" s="20"/>
      <c r="D1859" s="8"/>
      <c r="E1859" s="8"/>
    </row>
    <row r="1860" spans="1:5" x14ac:dyDescent="0.3">
      <c r="A1860" s="9"/>
      <c r="B1860" s="8"/>
      <c r="C1860" s="20"/>
      <c r="D1860" s="8"/>
      <c r="E1860" s="8"/>
    </row>
    <row r="1861" spans="1:5" x14ac:dyDescent="0.3">
      <c r="A1861" s="9"/>
      <c r="B1861" s="8"/>
      <c r="C1861" s="20"/>
      <c r="D1861" s="8"/>
      <c r="E1861" s="8"/>
    </row>
    <row r="1862" spans="1:5" x14ac:dyDescent="0.3">
      <c r="A1862" s="9"/>
      <c r="B1862" s="8"/>
      <c r="C1862" s="20"/>
      <c r="D1862" s="8"/>
      <c r="E1862" s="8"/>
    </row>
    <row r="1863" spans="1:5" x14ac:dyDescent="0.3">
      <c r="A1863" s="9"/>
      <c r="B1863" s="8"/>
      <c r="C1863" s="20"/>
      <c r="D1863" s="8"/>
      <c r="E1863" s="8"/>
    </row>
    <row r="1864" spans="1:5" x14ac:dyDescent="0.3">
      <c r="A1864" s="9"/>
      <c r="B1864" s="8"/>
      <c r="C1864" s="20"/>
      <c r="D1864" s="8"/>
      <c r="E1864" s="8"/>
    </row>
    <row r="1865" spans="1:5" x14ac:dyDescent="0.3">
      <c r="A1865" s="9"/>
      <c r="B1865" s="8"/>
      <c r="C1865" s="20"/>
      <c r="D1865" s="8"/>
      <c r="E1865" s="8"/>
    </row>
    <row r="1866" spans="1:5" x14ac:dyDescent="0.3">
      <c r="A1866" s="9"/>
      <c r="B1866" s="8"/>
      <c r="C1866" s="20"/>
      <c r="D1866" s="8"/>
      <c r="E1866" s="8"/>
    </row>
    <row r="1867" spans="1:5" x14ac:dyDescent="0.3">
      <c r="A1867" s="9"/>
      <c r="B1867" s="8"/>
      <c r="C1867" s="20"/>
      <c r="D1867" s="8"/>
      <c r="E1867" s="8"/>
    </row>
    <row r="1868" spans="1:5" x14ac:dyDescent="0.3">
      <c r="A1868" s="9"/>
      <c r="B1868" s="8"/>
      <c r="C1868" s="20"/>
      <c r="D1868" s="8"/>
      <c r="E1868" s="8"/>
    </row>
    <row r="1869" spans="1:5" x14ac:dyDescent="0.3">
      <c r="A1869" s="9"/>
      <c r="B1869" s="8"/>
      <c r="C1869" s="20"/>
      <c r="D1869" s="8"/>
      <c r="E1869" s="8"/>
    </row>
    <row r="1870" spans="1:5" x14ac:dyDescent="0.3">
      <c r="A1870" s="9"/>
      <c r="B1870" s="8"/>
      <c r="C1870" s="20"/>
      <c r="D1870" s="8"/>
      <c r="E1870" s="8"/>
    </row>
    <row r="1871" spans="1:5" x14ac:dyDescent="0.3">
      <c r="A1871" s="9"/>
      <c r="B1871" s="8"/>
      <c r="C1871" s="20"/>
      <c r="D1871" s="8"/>
      <c r="E1871" s="8"/>
    </row>
    <row r="1872" spans="1:5" x14ac:dyDescent="0.3">
      <c r="A1872" s="9"/>
      <c r="B1872" s="8"/>
      <c r="C1872" s="20"/>
      <c r="D1872" s="8"/>
      <c r="E1872" s="8"/>
    </row>
    <row r="1873" spans="1:5" x14ac:dyDescent="0.3">
      <c r="A1873" s="9"/>
      <c r="B1873" s="8"/>
      <c r="C1873" s="20"/>
      <c r="D1873" s="8"/>
      <c r="E1873" s="8"/>
    </row>
    <row r="1874" spans="1:5" x14ac:dyDescent="0.3">
      <c r="A1874" s="9"/>
      <c r="B1874" s="8"/>
      <c r="C1874" s="20"/>
      <c r="D1874" s="8"/>
      <c r="E1874" s="8"/>
    </row>
    <row r="1875" spans="1:5" x14ac:dyDescent="0.3">
      <c r="A1875" s="9"/>
      <c r="B1875" s="8"/>
      <c r="C1875" s="20"/>
      <c r="D1875" s="8"/>
      <c r="E1875" s="8"/>
    </row>
    <row r="1876" spans="1:5" x14ac:dyDescent="0.3">
      <c r="A1876" s="9"/>
      <c r="B1876" s="8"/>
      <c r="C1876" s="20"/>
      <c r="D1876" s="8"/>
      <c r="E1876" s="8"/>
    </row>
    <row r="1877" spans="1:5" x14ac:dyDescent="0.3">
      <c r="A1877" s="9"/>
      <c r="B1877" s="8"/>
      <c r="C1877" s="20"/>
      <c r="D1877" s="8"/>
      <c r="E1877" s="8"/>
    </row>
    <row r="1878" spans="1:5" x14ac:dyDescent="0.3">
      <c r="A1878" s="9"/>
      <c r="B1878" s="8"/>
      <c r="C1878" s="20"/>
      <c r="D1878" s="8"/>
      <c r="E1878" s="8"/>
    </row>
    <row r="1879" spans="1:5" x14ac:dyDescent="0.3">
      <c r="A1879" s="9"/>
      <c r="B1879" s="8"/>
      <c r="C1879" s="20"/>
      <c r="D1879" s="8"/>
      <c r="E1879" s="8"/>
    </row>
    <row r="1880" spans="1:5" x14ac:dyDescent="0.3">
      <c r="A1880" s="9"/>
      <c r="B1880" s="8"/>
      <c r="C1880" s="20"/>
      <c r="D1880" s="8"/>
      <c r="E1880" s="8"/>
    </row>
    <row r="1881" spans="1:5" x14ac:dyDescent="0.3">
      <c r="A1881" s="9"/>
      <c r="B1881" s="8"/>
      <c r="C1881" s="20"/>
      <c r="D1881" s="8"/>
      <c r="E1881" s="8"/>
    </row>
    <row r="1882" spans="1:5" x14ac:dyDescent="0.3">
      <c r="A1882" s="9"/>
      <c r="B1882" s="8"/>
      <c r="C1882" s="20"/>
      <c r="D1882" s="8"/>
      <c r="E1882" s="8"/>
    </row>
    <row r="1883" spans="1:5" x14ac:dyDescent="0.3">
      <c r="A1883" s="9"/>
      <c r="B1883" s="8"/>
      <c r="C1883" s="20"/>
      <c r="D1883" s="8"/>
      <c r="E1883" s="8"/>
    </row>
    <row r="1884" spans="1:5" x14ac:dyDescent="0.3">
      <c r="A1884" s="9"/>
      <c r="B1884" s="8"/>
      <c r="C1884" s="20"/>
      <c r="D1884" s="8"/>
      <c r="E1884" s="8"/>
    </row>
    <row r="1885" spans="1:5" x14ac:dyDescent="0.3">
      <c r="A1885" s="9"/>
      <c r="B1885" s="8"/>
      <c r="C1885" s="20"/>
      <c r="D1885" s="8"/>
      <c r="E1885" s="8"/>
    </row>
    <row r="1886" spans="1:5" x14ac:dyDescent="0.3">
      <c r="A1886" s="9"/>
      <c r="B1886" s="8"/>
      <c r="C1886" s="20"/>
      <c r="D1886" s="8"/>
      <c r="E1886" s="8"/>
    </row>
    <row r="1887" spans="1:5" x14ac:dyDescent="0.3">
      <c r="A1887" s="9"/>
      <c r="B1887" s="8"/>
      <c r="C1887" s="20"/>
      <c r="D1887" s="8"/>
      <c r="E1887" s="8"/>
    </row>
    <row r="1888" spans="1:5" x14ac:dyDescent="0.3">
      <c r="A1888" s="9"/>
      <c r="B1888" s="8"/>
      <c r="C1888" s="20"/>
      <c r="D1888" s="8"/>
      <c r="E1888" s="8"/>
    </row>
    <row r="1889" spans="1:5" x14ac:dyDescent="0.3">
      <c r="A1889" s="9"/>
      <c r="B1889" s="8"/>
      <c r="C1889" s="20"/>
      <c r="D1889" s="8"/>
      <c r="E1889" s="8"/>
    </row>
    <row r="1890" spans="1:5" x14ac:dyDescent="0.3">
      <c r="A1890" s="9"/>
      <c r="B1890" s="8"/>
      <c r="C1890" s="20"/>
      <c r="D1890" s="8"/>
      <c r="E1890" s="8"/>
    </row>
    <row r="1891" spans="1:5" x14ac:dyDescent="0.3">
      <c r="A1891" s="9"/>
      <c r="B1891" s="8"/>
      <c r="C1891" s="20"/>
      <c r="D1891" s="8"/>
      <c r="E1891" s="8"/>
    </row>
    <row r="1892" spans="1:5" x14ac:dyDescent="0.3">
      <c r="A1892" s="9"/>
      <c r="B1892" s="8"/>
      <c r="C1892" s="20"/>
      <c r="D1892" s="8"/>
      <c r="E1892" s="8"/>
    </row>
    <row r="1893" spans="1:5" x14ac:dyDescent="0.3">
      <c r="A1893" s="9"/>
      <c r="B1893" s="8"/>
      <c r="C1893" s="20"/>
      <c r="D1893" s="8"/>
      <c r="E1893" s="8"/>
    </row>
    <row r="1894" spans="1:5" x14ac:dyDescent="0.3">
      <c r="A1894" s="9"/>
      <c r="B1894" s="8"/>
      <c r="C1894" s="20"/>
      <c r="D1894" s="8"/>
      <c r="E1894" s="8"/>
    </row>
    <row r="1895" spans="1:5" x14ac:dyDescent="0.3">
      <c r="A1895" s="9"/>
      <c r="B1895" s="8"/>
      <c r="C1895" s="20"/>
      <c r="D1895" s="8"/>
      <c r="E1895" s="8"/>
    </row>
    <row r="1896" spans="1:5" x14ac:dyDescent="0.3">
      <c r="A1896" s="9"/>
      <c r="B1896" s="8"/>
      <c r="C1896" s="20"/>
      <c r="D1896" s="8"/>
      <c r="E1896" s="8"/>
    </row>
    <row r="1897" spans="1:5" x14ac:dyDescent="0.3">
      <c r="A1897" s="9"/>
      <c r="B1897" s="8"/>
      <c r="C1897" s="20"/>
      <c r="D1897" s="8"/>
      <c r="E1897" s="8"/>
    </row>
    <row r="1898" spans="1:5" x14ac:dyDescent="0.3">
      <c r="A1898" s="9"/>
      <c r="B1898" s="8"/>
      <c r="C1898" s="20"/>
      <c r="D1898" s="8"/>
      <c r="E1898" s="8"/>
    </row>
    <row r="1899" spans="1:5" x14ac:dyDescent="0.3">
      <c r="A1899" s="9"/>
      <c r="B1899" s="8"/>
      <c r="C1899" s="20"/>
      <c r="D1899" s="8"/>
      <c r="E1899" s="8"/>
    </row>
    <row r="1900" spans="1:5" x14ac:dyDescent="0.3">
      <c r="A1900" s="9"/>
      <c r="B1900" s="8"/>
      <c r="C1900" s="20"/>
      <c r="D1900" s="8"/>
      <c r="E1900" s="8"/>
    </row>
    <row r="1901" spans="1:5" x14ac:dyDescent="0.3">
      <c r="A1901" s="9"/>
      <c r="B1901" s="8"/>
      <c r="C1901" s="20"/>
      <c r="D1901" s="8"/>
      <c r="E1901" s="8"/>
    </row>
    <row r="1902" spans="1:5" x14ac:dyDescent="0.3">
      <c r="A1902" s="9"/>
      <c r="B1902" s="8"/>
      <c r="C1902" s="20"/>
      <c r="D1902" s="8"/>
      <c r="E1902" s="8"/>
    </row>
    <row r="1903" spans="1:5" x14ac:dyDescent="0.3">
      <c r="A1903" s="9"/>
      <c r="B1903" s="8"/>
      <c r="C1903" s="20"/>
      <c r="D1903" s="8"/>
      <c r="E1903" s="8"/>
    </row>
    <row r="1904" spans="1:5" x14ac:dyDescent="0.3">
      <c r="A1904" s="9"/>
      <c r="B1904" s="8"/>
      <c r="C1904" s="20"/>
      <c r="D1904" s="8"/>
      <c r="E1904" s="8"/>
    </row>
    <row r="1905" spans="1:5" x14ac:dyDescent="0.3">
      <c r="A1905" s="9"/>
      <c r="B1905" s="8"/>
      <c r="C1905" s="20"/>
      <c r="D1905" s="8"/>
      <c r="E1905" s="8"/>
    </row>
    <row r="1906" spans="1:5" x14ac:dyDescent="0.3">
      <c r="A1906" s="9"/>
      <c r="B1906" s="8"/>
      <c r="C1906" s="20"/>
      <c r="D1906" s="8"/>
      <c r="E1906" s="8"/>
    </row>
    <row r="1907" spans="1:5" x14ac:dyDescent="0.3">
      <c r="A1907" s="9"/>
      <c r="B1907" s="8"/>
      <c r="C1907" s="20"/>
      <c r="D1907" s="8"/>
      <c r="E1907" s="8"/>
    </row>
    <row r="1908" spans="1:5" x14ac:dyDescent="0.3">
      <c r="A1908" s="9"/>
      <c r="B1908" s="8"/>
      <c r="C1908" s="20"/>
      <c r="D1908" s="8"/>
      <c r="E1908" s="8"/>
    </row>
    <row r="1909" spans="1:5" x14ac:dyDescent="0.3">
      <c r="A1909" s="9"/>
      <c r="B1909" s="8"/>
      <c r="C1909" s="20"/>
      <c r="D1909" s="8"/>
      <c r="E1909" s="8"/>
    </row>
    <row r="1910" spans="1:5" x14ac:dyDescent="0.3">
      <c r="A1910" s="9"/>
      <c r="B1910" s="8"/>
      <c r="C1910" s="20"/>
      <c r="D1910" s="8"/>
      <c r="E1910" s="8"/>
    </row>
    <row r="1911" spans="1:5" x14ac:dyDescent="0.3">
      <c r="A1911" s="9"/>
      <c r="B1911" s="8"/>
      <c r="C1911" s="20"/>
      <c r="D1911" s="8"/>
      <c r="E1911" s="8"/>
    </row>
    <row r="1912" spans="1:5" x14ac:dyDescent="0.3">
      <c r="A1912" s="9"/>
      <c r="B1912" s="8"/>
      <c r="C1912" s="20"/>
      <c r="D1912" s="8"/>
      <c r="E1912" s="8"/>
    </row>
    <row r="1913" spans="1:5" x14ac:dyDescent="0.3">
      <c r="A1913" s="9"/>
      <c r="B1913" s="8"/>
      <c r="C1913" s="20"/>
      <c r="D1913" s="8"/>
      <c r="E1913" s="8"/>
    </row>
    <row r="1914" spans="1:5" x14ac:dyDescent="0.3">
      <c r="A1914" s="9"/>
      <c r="B1914" s="8"/>
      <c r="C1914" s="20"/>
      <c r="D1914" s="8"/>
      <c r="E1914" s="8"/>
    </row>
    <row r="1915" spans="1:5" x14ac:dyDescent="0.3">
      <c r="A1915" s="9"/>
      <c r="B1915" s="8"/>
      <c r="C1915" s="20"/>
      <c r="D1915" s="8"/>
      <c r="E1915" s="8"/>
    </row>
    <row r="1916" spans="1:5" x14ac:dyDescent="0.3">
      <c r="A1916" s="9"/>
      <c r="B1916" s="8"/>
      <c r="C1916" s="20"/>
      <c r="D1916" s="8"/>
      <c r="E1916" s="8"/>
    </row>
    <row r="1917" spans="1:5" x14ac:dyDescent="0.3">
      <c r="A1917" s="9"/>
      <c r="B1917" s="8"/>
      <c r="C1917" s="20"/>
      <c r="D1917" s="8"/>
      <c r="E1917" s="8"/>
    </row>
    <row r="1918" spans="1:5" x14ac:dyDescent="0.3">
      <c r="A1918" s="9"/>
      <c r="B1918" s="8"/>
      <c r="C1918" s="20"/>
      <c r="D1918" s="8"/>
      <c r="E1918" s="8"/>
    </row>
    <row r="1919" spans="1:5" x14ac:dyDescent="0.3">
      <c r="A1919" s="9"/>
      <c r="B1919" s="8"/>
      <c r="C1919" s="20"/>
      <c r="D1919" s="8"/>
      <c r="E1919" s="8"/>
    </row>
    <row r="1920" spans="1:5" x14ac:dyDescent="0.3">
      <c r="A1920" s="9"/>
      <c r="B1920" s="8"/>
      <c r="C1920" s="20"/>
      <c r="D1920" s="8"/>
      <c r="E1920" s="8"/>
    </row>
    <row r="1921" spans="1:5" x14ac:dyDescent="0.3">
      <c r="A1921" s="9"/>
      <c r="B1921" s="8"/>
      <c r="C1921" s="20"/>
      <c r="D1921" s="8"/>
      <c r="E1921" s="8"/>
    </row>
    <row r="1922" spans="1:5" x14ac:dyDescent="0.3">
      <c r="A1922" s="9"/>
      <c r="B1922" s="8"/>
      <c r="C1922" s="20"/>
      <c r="D1922" s="8"/>
      <c r="E1922" s="8"/>
    </row>
    <row r="1923" spans="1:5" x14ac:dyDescent="0.3">
      <c r="A1923" s="9"/>
      <c r="B1923" s="8"/>
      <c r="C1923" s="20"/>
      <c r="D1923" s="8"/>
      <c r="E1923" s="8"/>
    </row>
    <row r="1924" spans="1:5" x14ac:dyDescent="0.3">
      <c r="A1924" s="9"/>
      <c r="B1924" s="8"/>
      <c r="C1924" s="20"/>
      <c r="D1924" s="8"/>
      <c r="E1924" s="8"/>
    </row>
    <row r="1925" spans="1:5" x14ac:dyDescent="0.3">
      <c r="A1925" s="9"/>
      <c r="B1925" s="8"/>
      <c r="C1925" s="20"/>
      <c r="D1925" s="8"/>
      <c r="E1925" s="8"/>
    </row>
    <row r="1926" spans="1:5" x14ac:dyDescent="0.3">
      <c r="A1926" s="9"/>
      <c r="B1926" s="8"/>
      <c r="C1926" s="20"/>
      <c r="D1926" s="8"/>
      <c r="E1926" s="8"/>
    </row>
    <row r="1927" spans="1:5" x14ac:dyDescent="0.3">
      <c r="A1927" s="9"/>
      <c r="B1927" s="8"/>
      <c r="C1927" s="20"/>
      <c r="D1927" s="8"/>
      <c r="E1927" s="8"/>
    </row>
    <row r="1928" spans="1:5" x14ac:dyDescent="0.3">
      <c r="A1928" s="9"/>
      <c r="B1928" s="8"/>
      <c r="C1928" s="20"/>
      <c r="D1928" s="8"/>
      <c r="E1928" s="8"/>
    </row>
    <row r="1929" spans="1:5" x14ac:dyDescent="0.3">
      <c r="A1929" s="9"/>
      <c r="B1929" s="8"/>
      <c r="C1929" s="20"/>
      <c r="D1929" s="8"/>
      <c r="E1929" s="8"/>
    </row>
    <row r="1930" spans="1:5" x14ac:dyDescent="0.3">
      <c r="A1930" s="9"/>
      <c r="B1930" s="8"/>
      <c r="C1930" s="20"/>
      <c r="D1930" s="8"/>
      <c r="E1930" s="8"/>
    </row>
    <row r="1931" spans="1:5" x14ac:dyDescent="0.3">
      <c r="A1931" s="9"/>
      <c r="B1931" s="8"/>
      <c r="C1931" s="20"/>
      <c r="D1931" s="8"/>
      <c r="E1931" s="8"/>
    </row>
    <row r="1932" spans="1:5" x14ac:dyDescent="0.3">
      <c r="A1932" s="9"/>
      <c r="B1932" s="8"/>
      <c r="C1932" s="20"/>
      <c r="D1932" s="8"/>
      <c r="E1932" s="8"/>
    </row>
    <row r="1933" spans="1:5" x14ac:dyDescent="0.3">
      <c r="A1933" s="9"/>
      <c r="B1933" s="8"/>
      <c r="C1933" s="20"/>
      <c r="D1933" s="8"/>
      <c r="E1933" s="8"/>
    </row>
    <row r="1934" spans="1:5" x14ac:dyDescent="0.3">
      <c r="A1934" s="9"/>
      <c r="B1934" s="8"/>
      <c r="C1934" s="20"/>
      <c r="D1934" s="8"/>
      <c r="E1934" s="8"/>
    </row>
    <row r="1935" spans="1:5" x14ac:dyDescent="0.3">
      <c r="A1935" s="9"/>
      <c r="B1935" s="8"/>
      <c r="C1935" s="20"/>
      <c r="D1935" s="8"/>
      <c r="E1935" s="8"/>
    </row>
    <row r="1936" spans="1:5" x14ac:dyDescent="0.3">
      <c r="A1936" s="9"/>
      <c r="B1936" s="8"/>
      <c r="C1936" s="20"/>
      <c r="D1936" s="8"/>
      <c r="E1936" s="8"/>
    </row>
    <row r="1937" spans="1:5" x14ac:dyDescent="0.3">
      <c r="A1937" s="9"/>
      <c r="B1937" s="8"/>
      <c r="C1937" s="20"/>
      <c r="D1937" s="8"/>
      <c r="E1937" s="8"/>
    </row>
    <row r="1938" spans="1:5" x14ac:dyDescent="0.3">
      <c r="A1938" s="9"/>
      <c r="B1938" s="8"/>
      <c r="C1938" s="20"/>
      <c r="D1938" s="8"/>
      <c r="E1938" s="8"/>
    </row>
    <row r="1939" spans="1:5" x14ac:dyDescent="0.3">
      <c r="A1939" s="9"/>
      <c r="B1939" s="8"/>
      <c r="C1939" s="20"/>
      <c r="D1939" s="8"/>
      <c r="E1939" s="8"/>
    </row>
    <row r="1940" spans="1:5" x14ac:dyDescent="0.3">
      <c r="A1940" s="9"/>
      <c r="B1940" s="8"/>
      <c r="C1940" s="20"/>
      <c r="D1940" s="8"/>
      <c r="E1940" s="8"/>
    </row>
    <row r="1941" spans="1:5" x14ac:dyDescent="0.3">
      <c r="A1941" s="9"/>
      <c r="B1941" s="8"/>
      <c r="C1941" s="20"/>
      <c r="D1941" s="8"/>
      <c r="E1941" s="8"/>
    </row>
    <row r="1942" spans="1:5" x14ac:dyDescent="0.3">
      <c r="A1942" s="9"/>
      <c r="B1942" s="8"/>
      <c r="C1942" s="20"/>
      <c r="D1942" s="8"/>
      <c r="E1942" s="8"/>
    </row>
    <row r="1943" spans="1:5" x14ac:dyDescent="0.3">
      <c r="A1943" s="9"/>
      <c r="B1943" s="8"/>
      <c r="C1943" s="20"/>
      <c r="D1943" s="8"/>
      <c r="E1943" s="8"/>
    </row>
    <row r="1944" spans="1:5" x14ac:dyDescent="0.3">
      <c r="A1944" s="9"/>
      <c r="B1944" s="8"/>
      <c r="C1944" s="20"/>
      <c r="D1944" s="8"/>
      <c r="E1944" s="8"/>
    </row>
    <row r="1945" spans="1:5" x14ac:dyDescent="0.3">
      <c r="A1945" s="9"/>
      <c r="B1945" s="8"/>
      <c r="C1945" s="20"/>
      <c r="D1945" s="8"/>
      <c r="E1945" s="8"/>
    </row>
    <row r="1946" spans="1:5" x14ac:dyDescent="0.3">
      <c r="A1946" s="9"/>
      <c r="B1946" s="8"/>
      <c r="C1946" s="20"/>
      <c r="D1946" s="8"/>
      <c r="E1946" s="8"/>
    </row>
    <row r="1947" spans="1:5" x14ac:dyDescent="0.3">
      <c r="A1947" s="9"/>
      <c r="B1947" s="8"/>
      <c r="C1947" s="20"/>
      <c r="D1947" s="8"/>
      <c r="E1947" s="8"/>
    </row>
    <row r="1948" spans="1:5" x14ac:dyDescent="0.3">
      <c r="A1948" s="9"/>
      <c r="B1948" s="8"/>
      <c r="C1948" s="20"/>
      <c r="D1948" s="8"/>
      <c r="E1948" s="8"/>
    </row>
    <row r="1949" spans="1:5" x14ac:dyDescent="0.3">
      <c r="A1949" s="9"/>
      <c r="B1949" s="8"/>
      <c r="C1949" s="20"/>
      <c r="D1949" s="8"/>
      <c r="E1949" s="8"/>
    </row>
    <row r="1950" spans="1:5" x14ac:dyDescent="0.3">
      <c r="A1950" s="9"/>
      <c r="B1950" s="8"/>
      <c r="C1950" s="20"/>
      <c r="D1950" s="8"/>
      <c r="E1950" s="8"/>
    </row>
    <row r="1951" spans="1:5" x14ac:dyDescent="0.3">
      <c r="A1951" s="9"/>
      <c r="B1951" s="8"/>
      <c r="C1951" s="20"/>
      <c r="D1951" s="8"/>
      <c r="E1951" s="8"/>
    </row>
    <row r="1952" spans="1:5" x14ac:dyDescent="0.3">
      <c r="A1952" s="9"/>
      <c r="B1952" s="8"/>
      <c r="C1952" s="20"/>
      <c r="D1952" s="8"/>
      <c r="E1952" s="8"/>
    </row>
    <row r="1953" spans="1:5" x14ac:dyDescent="0.3">
      <c r="A1953" s="9"/>
      <c r="B1953" s="8"/>
      <c r="C1953" s="20"/>
      <c r="D1953" s="8"/>
      <c r="E1953" s="8"/>
    </row>
    <row r="1954" spans="1:5" x14ac:dyDescent="0.3">
      <c r="A1954" s="9"/>
      <c r="B1954" s="8"/>
      <c r="C1954" s="20"/>
      <c r="D1954" s="8"/>
      <c r="E1954" s="8"/>
    </row>
    <row r="1955" spans="1:5" x14ac:dyDescent="0.3">
      <c r="A1955" s="9"/>
      <c r="B1955" s="8"/>
      <c r="C1955" s="20"/>
      <c r="D1955" s="8"/>
      <c r="E1955" s="8"/>
    </row>
    <row r="1956" spans="1:5" x14ac:dyDescent="0.3">
      <c r="A1956" s="9"/>
      <c r="B1956" s="8"/>
      <c r="C1956" s="20"/>
      <c r="D1956" s="8"/>
      <c r="E1956" s="8"/>
    </row>
    <row r="1957" spans="1:5" x14ac:dyDescent="0.3">
      <c r="A1957" s="9"/>
      <c r="B1957" s="8"/>
      <c r="C1957" s="20"/>
      <c r="D1957" s="8"/>
      <c r="E1957" s="8"/>
    </row>
    <row r="1958" spans="1:5" x14ac:dyDescent="0.3">
      <c r="A1958" s="9"/>
      <c r="B1958" s="8"/>
      <c r="C1958" s="20"/>
      <c r="D1958" s="8"/>
      <c r="E1958" s="8"/>
    </row>
    <row r="1959" spans="1:5" x14ac:dyDescent="0.3">
      <c r="A1959" s="9"/>
      <c r="B1959" s="8"/>
      <c r="C1959" s="20"/>
      <c r="D1959" s="8"/>
      <c r="E1959" s="8"/>
    </row>
    <row r="1960" spans="1:5" x14ac:dyDescent="0.3">
      <c r="A1960" s="9"/>
      <c r="B1960" s="8"/>
      <c r="C1960" s="20"/>
      <c r="D1960" s="8"/>
      <c r="E1960" s="8"/>
    </row>
    <row r="1961" spans="1:5" x14ac:dyDescent="0.3">
      <c r="A1961" s="9"/>
      <c r="B1961" s="8"/>
      <c r="C1961" s="20"/>
      <c r="D1961" s="8"/>
      <c r="E1961" s="8"/>
    </row>
    <row r="1962" spans="1:5" x14ac:dyDescent="0.3">
      <c r="A1962" s="9"/>
      <c r="B1962" s="8"/>
      <c r="C1962" s="20"/>
      <c r="D1962" s="8"/>
      <c r="E1962" s="8"/>
    </row>
    <row r="1963" spans="1:5" x14ac:dyDescent="0.3">
      <c r="A1963" s="9"/>
      <c r="B1963" s="8"/>
      <c r="C1963" s="20"/>
      <c r="D1963" s="8"/>
      <c r="E1963" s="8"/>
    </row>
    <row r="1964" spans="1:5" x14ac:dyDescent="0.3">
      <c r="A1964" s="9"/>
      <c r="B1964" s="8"/>
      <c r="C1964" s="20"/>
      <c r="D1964" s="8"/>
      <c r="E1964" s="8"/>
    </row>
    <row r="1965" spans="1:5" x14ac:dyDescent="0.3">
      <c r="A1965" s="9"/>
      <c r="B1965" s="8"/>
      <c r="C1965" s="20"/>
      <c r="D1965" s="8"/>
      <c r="E1965" s="8"/>
    </row>
    <row r="1966" spans="1:5" x14ac:dyDescent="0.3">
      <c r="A1966" s="9"/>
      <c r="B1966" s="8"/>
      <c r="C1966" s="20"/>
      <c r="D1966" s="8"/>
      <c r="E1966" s="8"/>
    </row>
    <row r="1967" spans="1:5" x14ac:dyDescent="0.3">
      <c r="A1967" s="9"/>
      <c r="B1967" s="8"/>
      <c r="C1967" s="20"/>
      <c r="D1967" s="8"/>
      <c r="E1967" s="8"/>
    </row>
    <row r="1968" spans="1:5" x14ac:dyDescent="0.3">
      <c r="A1968" s="9"/>
      <c r="B1968" s="8"/>
      <c r="C1968" s="20"/>
      <c r="D1968" s="8"/>
      <c r="E1968" s="8"/>
    </row>
    <row r="1969" spans="1:5" x14ac:dyDescent="0.3">
      <c r="A1969" s="9"/>
      <c r="B1969" s="8"/>
      <c r="C1969" s="20"/>
      <c r="D1969" s="8"/>
      <c r="E1969" s="8"/>
    </row>
    <row r="1970" spans="1:5" x14ac:dyDescent="0.3">
      <c r="A1970" s="9"/>
      <c r="B1970" s="8"/>
      <c r="C1970" s="20"/>
      <c r="D1970" s="8"/>
      <c r="E1970" s="8"/>
    </row>
    <row r="1971" spans="1:5" x14ac:dyDescent="0.3">
      <c r="A1971" s="9"/>
      <c r="B1971" s="8"/>
      <c r="C1971" s="20"/>
      <c r="D1971" s="8"/>
      <c r="E1971" s="8"/>
    </row>
    <row r="1972" spans="1:5" x14ac:dyDescent="0.3">
      <c r="A1972" s="9"/>
      <c r="B1972" s="8"/>
      <c r="C1972" s="20"/>
      <c r="D1972" s="8"/>
      <c r="E1972" s="8"/>
    </row>
    <row r="1973" spans="1:5" x14ac:dyDescent="0.3">
      <c r="A1973" s="9"/>
      <c r="B1973" s="8"/>
      <c r="C1973" s="20"/>
      <c r="D1973" s="8"/>
      <c r="E1973" s="8"/>
    </row>
    <row r="1974" spans="1:5" x14ac:dyDescent="0.3">
      <c r="A1974" s="9"/>
      <c r="B1974" s="8"/>
      <c r="C1974" s="20"/>
      <c r="D1974" s="8"/>
      <c r="E1974" s="8"/>
    </row>
    <row r="1975" spans="1:5" x14ac:dyDescent="0.3">
      <c r="A1975" s="9"/>
      <c r="B1975" s="8"/>
      <c r="C1975" s="20"/>
      <c r="D1975" s="8"/>
      <c r="E1975" s="8"/>
    </row>
    <row r="1976" spans="1:5" x14ac:dyDescent="0.3">
      <c r="A1976" s="9"/>
      <c r="B1976" s="8"/>
      <c r="C1976" s="20"/>
      <c r="D1976" s="8"/>
      <c r="E1976" s="8"/>
    </row>
    <row r="1977" spans="1:5" x14ac:dyDescent="0.3">
      <c r="A1977" s="9"/>
      <c r="B1977" s="8"/>
      <c r="C1977" s="20"/>
      <c r="D1977" s="8"/>
      <c r="E1977" s="8"/>
    </row>
    <row r="1978" spans="1:5" x14ac:dyDescent="0.3">
      <c r="A1978" s="9"/>
      <c r="B1978" s="8"/>
      <c r="C1978" s="20"/>
      <c r="D1978" s="8"/>
      <c r="E1978" s="8"/>
    </row>
    <row r="1979" spans="1:5" x14ac:dyDescent="0.3">
      <c r="A1979" s="9"/>
      <c r="B1979" s="8"/>
      <c r="C1979" s="20"/>
      <c r="D1979" s="8"/>
      <c r="E1979" s="8"/>
    </row>
    <row r="1980" spans="1:5" x14ac:dyDescent="0.3">
      <c r="A1980" s="9"/>
      <c r="B1980" s="8"/>
      <c r="C1980" s="20"/>
      <c r="D1980" s="8"/>
      <c r="E1980" s="8"/>
    </row>
    <row r="1981" spans="1:5" x14ac:dyDescent="0.3">
      <c r="A1981" s="9"/>
      <c r="B1981" s="8"/>
      <c r="C1981" s="20"/>
      <c r="D1981" s="8"/>
      <c r="E1981" s="8"/>
    </row>
    <row r="1982" spans="1:5" x14ac:dyDescent="0.3">
      <c r="A1982" s="9"/>
      <c r="B1982" s="8"/>
      <c r="C1982" s="20"/>
      <c r="D1982" s="8"/>
      <c r="E1982" s="8"/>
    </row>
    <row r="1983" spans="1:5" x14ac:dyDescent="0.3">
      <c r="A1983" s="9"/>
      <c r="B1983" s="8"/>
      <c r="C1983" s="20"/>
      <c r="D1983" s="8"/>
      <c r="E1983" s="8"/>
    </row>
    <row r="1984" spans="1:5" x14ac:dyDescent="0.3">
      <c r="A1984" s="9"/>
      <c r="B1984" s="8"/>
      <c r="C1984" s="20"/>
      <c r="D1984" s="8"/>
      <c r="E1984" s="8"/>
    </row>
    <row r="1985" spans="1:5" x14ac:dyDescent="0.3">
      <c r="A1985" s="9"/>
      <c r="B1985" s="8"/>
      <c r="C1985" s="20"/>
      <c r="D1985" s="8"/>
      <c r="E1985" s="8"/>
    </row>
    <row r="1986" spans="1:5" x14ac:dyDescent="0.3">
      <c r="A1986" s="9"/>
      <c r="B1986" s="8"/>
      <c r="C1986" s="20"/>
      <c r="D1986" s="8"/>
      <c r="E1986" s="8"/>
    </row>
    <row r="1987" spans="1:5" x14ac:dyDescent="0.3">
      <c r="A1987" s="9"/>
      <c r="B1987" s="8"/>
      <c r="C1987" s="20"/>
      <c r="D1987" s="8"/>
      <c r="E1987" s="8"/>
    </row>
    <row r="1988" spans="1:5" x14ac:dyDescent="0.3">
      <c r="A1988" s="9"/>
      <c r="B1988" s="8"/>
      <c r="C1988" s="20"/>
      <c r="D1988" s="8"/>
      <c r="E1988" s="8"/>
    </row>
    <row r="1989" spans="1:5" x14ac:dyDescent="0.3">
      <c r="A1989" s="9"/>
      <c r="B1989" s="8"/>
      <c r="C1989" s="20"/>
      <c r="D1989" s="8"/>
      <c r="E1989" s="8"/>
    </row>
    <row r="1990" spans="1:5" x14ac:dyDescent="0.3">
      <c r="A1990" s="9"/>
      <c r="B1990" s="8"/>
      <c r="C1990" s="20"/>
      <c r="D1990" s="8"/>
      <c r="E1990" s="8"/>
    </row>
    <row r="1991" spans="1:5" x14ac:dyDescent="0.3">
      <c r="A1991" s="9"/>
      <c r="B1991" s="8"/>
      <c r="C1991" s="20"/>
      <c r="D1991" s="8"/>
      <c r="E1991" s="8"/>
    </row>
    <row r="1992" spans="1:5" x14ac:dyDescent="0.3">
      <c r="A1992" s="9"/>
      <c r="B1992" s="8"/>
      <c r="C1992" s="20"/>
      <c r="D1992" s="8"/>
      <c r="E1992" s="8"/>
    </row>
    <row r="1993" spans="1:5" x14ac:dyDescent="0.3">
      <c r="A1993" s="9"/>
      <c r="B1993" s="8"/>
      <c r="C1993" s="20"/>
      <c r="D1993" s="8"/>
      <c r="E1993" s="8"/>
    </row>
    <row r="1994" spans="1:5" x14ac:dyDescent="0.3">
      <c r="A1994" s="9"/>
      <c r="B1994" s="8"/>
      <c r="C1994" s="20"/>
      <c r="D1994" s="8"/>
      <c r="E1994" s="8"/>
    </row>
    <row r="1995" spans="1:5" x14ac:dyDescent="0.3">
      <c r="A1995" s="9"/>
      <c r="B1995" s="8"/>
      <c r="C1995" s="20"/>
      <c r="D1995" s="8"/>
      <c r="E1995" s="8"/>
    </row>
    <row r="1996" spans="1:5" x14ac:dyDescent="0.3">
      <c r="A1996" s="9"/>
      <c r="B1996" s="8"/>
      <c r="C1996" s="20"/>
      <c r="D1996" s="8"/>
      <c r="E1996" s="8"/>
    </row>
    <row r="1997" spans="1:5" x14ac:dyDescent="0.3">
      <c r="A1997" s="9"/>
      <c r="B1997" s="8"/>
      <c r="C1997" s="20"/>
      <c r="D1997" s="8"/>
      <c r="E1997" s="8"/>
    </row>
    <row r="1998" spans="1:5" x14ac:dyDescent="0.3">
      <c r="A1998" s="9"/>
      <c r="B1998" s="8"/>
      <c r="C1998" s="20"/>
      <c r="D1998" s="8"/>
      <c r="E1998" s="8"/>
    </row>
    <row r="1999" spans="1:5" x14ac:dyDescent="0.3">
      <c r="A1999" s="9"/>
      <c r="B1999" s="8"/>
      <c r="C1999" s="20"/>
      <c r="D1999" s="8"/>
      <c r="E1999" s="8"/>
    </row>
    <row r="2000" spans="1:5" x14ac:dyDescent="0.3">
      <c r="A2000" s="9"/>
      <c r="B2000" s="8"/>
      <c r="C2000" s="20"/>
      <c r="D2000" s="8"/>
      <c r="E2000" s="8"/>
    </row>
    <row r="2001" spans="1:5" x14ac:dyDescent="0.3">
      <c r="A2001" s="9"/>
      <c r="B2001" s="8"/>
      <c r="C2001" s="20"/>
      <c r="D2001" s="8"/>
      <c r="E2001" s="8"/>
    </row>
    <row r="2002" spans="1:5" x14ac:dyDescent="0.3">
      <c r="A2002" s="9"/>
      <c r="B2002" s="8"/>
      <c r="C2002" s="20"/>
      <c r="D2002" s="8"/>
      <c r="E2002" s="8"/>
    </row>
    <row r="2003" spans="1:5" x14ac:dyDescent="0.3">
      <c r="A2003" s="9"/>
      <c r="B2003" s="8"/>
      <c r="C2003" s="20"/>
      <c r="D2003" s="8"/>
      <c r="E2003" s="8"/>
    </row>
    <row r="2004" spans="1:5" x14ac:dyDescent="0.3">
      <c r="A2004" s="9"/>
      <c r="B2004" s="8"/>
      <c r="C2004" s="20"/>
      <c r="D2004" s="8"/>
      <c r="E2004" s="8"/>
    </row>
  </sheetData>
  <autoFilter ref="A4:E2004" xr:uid="{00000000-0009-0000-0000-000007000000}"/>
  <mergeCells count="2">
    <mergeCell ref="A2:E2"/>
    <mergeCell ref="A1:E1"/>
  </mergeCells>
  <dataValidations count="1">
    <dataValidation type="list" allowBlank="1" sqref="B5:B2004" xr:uid="{00000000-0002-0000-0700-000000000000}">
      <formula1>ListaActivos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04"/>
  <sheetViews>
    <sheetView showGridLines="0" workbookViewId="0">
      <pane ySplit="4" topLeftCell="A5" activePane="bottomLeft" state="frozen"/>
      <selection pane="bottomLeft" activeCell="F7" sqref="F7"/>
    </sheetView>
  </sheetViews>
  <sheetFormatPr baseColWidth="10" defaultColWidth="8.88671875" defaultRowHeight="14.4" x14ac:dyDescent="0.3"/>
  <cols>
    <col min="1" max="2" width="12" style="12" customWidth="1"/>
    <col min="3" max="5" width="15" style="12" customWidth="1"/>
    <col min="6" max="6" width="17" style="12" customWidth="1"/>
    <col min="7" max="7" width="18" style="12" customWidth="1"/>
    <col min="8" max="8" width="20" style="12" customWidth="1"/>
    <col min="9" max="9" width="16" style="12" customWidth="1"/>
    <col min="10" max="10" width="19" style="12" customWidth="1"/>
    <col min="11" max="11" width="20" style="12" customWidth="1"/>
    <col min="12" max="12" width="17" style="12" customWidth="1"/>
    <col min="13" max="13" width="18" style="12" customWidth="1"/>
    <col min="14" max="14" width="21" style="12" customWidth="1"/>
    <col min="15" max="16" width="24" style="12" customWidth="1"/>
    <col min="17" max="18" width="21" style="12" customWidth="1"/>
    <col min="19" max="19" width="14" style="12" customWidth="1"/>
    <col min="20" max="21" width="12" style="12" customWidth="1"/>
  </cols>
  <sheetData>
    <row r="1" spans="1:21" ht="25.05" customHeight="1" x14ac:dyDescent="0.3">
      <c r="A1" s="34" t="s">
        <v>228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spans="1:21" ht="34.049999999999997" customHeight="1" x14ac:dyDescent="0.3">
      <c r="A2" s="31" t="s">
        <v>229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</row>
    <row r="4" spans="1:21" ht="34.049999999999997" customHeight="1" x14ac:dyDescent="0.3">
      <c r="A4" s="1" t="s">
        <v>189</v>
      </c>
      <c r="B4" s="1" t="s">
        <v>159</v>
      </c>
      <c r="C4" s="1" t="s">
        <v>230</v>
      </c>
      <c r="D4" s="1" t="s">
        <v>231</v>
      </c>
      <c r="E4" s="1" t="s">
        <v>212</v>
      </c>
      <c r="F4" s="1" t="s">
        <v>85</v>
      </c>
      <c r="G4" s="1" t="s">
        <v>232</v>
      </c>
      <c r="H4" s="1" t="s">
        <v>233</v>
      </c>
      <c r="I4" s="1" t="s">
        <v>234</v>
      </c>
      <c r="J4" s="1" t="s">
        <v>235</v>
      </c>
      <c r="K4" s="1" t="s">
        <v>236</v>
      </c>
      <c r="L4" s="1" t="s">
        <v>237</v>
      </c>
      <c r="M4" s="1" t="s">
        <v>207</v>
      </c>
      <c r="N4" s="1" t="s">
        <v>238</v>
      </c>
      <c r="O4" s="1" t="s">
        <v>239</v>
      </c>
      <c r="P4" s="1" t="s">
        <v>240</v>
      </c>
      <c r="Q4" s="1" t="s">
        <v>241</v>
      </c>
      <c r="R4" s="1" t="s">
        <v>242</v>
      </c>
      <c r="S4" s="1" t="s">
        <v>94</v>
      </c>
      <c r="T4" s="1" t="s">
        <v>243</v>
      </c>
      <c r="U4" s="1" t="s">
        <v>96</v>
      </c>
    </row>
    <row r="5" spans="1:21" x14ac:dyDescent="0.3">
      <c r="A5" s="10" t="str">
        <f>IF(Activos!A5="","",Activos!A5)</f>
        <v>IVV</v>
      </c>
      <c r="B5" s="10" t="str">
        <f>IF(A5="","",Activos!C5)</f>
        <v>ETF</v>
      </c>
      <c r="C5" s="28">
        <f>IF(A5="","",SUMIFS(Transacciones!$E$5:$E$1004,Transacciones!$B$5:$B$1004,A5,Transacciones!$D$5:$D$1004,"COMPRA"))</f>
        <v>0.54308000000000001</v>
      </c>
      <c r="D5" s="28">
        <f>IF(A5="","",SUMIFS(Transacciones!$E$5:$E$1004,Transacciones!$B$5:$B$1004,A5,Transacciones!$D$5:$D$1004,"VENTA"))</f>
        <v>0</v>
      </c>
      <c r="E5" s="28">
        <f>IF(A5="","",SUMIF(Referidos!$C$5:$C$204,A5,Referidos!$D$5:$D$204))</f>
        <v>0</v>
      </c>
      <c r="F5" s="28">
        <f t="shared" ref="F5:F36" si="0">IF(A5="","",C5-D5+E5)</f>
        <v>0.54308000000000001</v>
      </c>
      <c r="G5" s="18">
        <f>IF(A5="","",SUMIFS(Transacciones!$G$5:$G$1004,Transacciones!$B$5:$B$1004,A5,Transacciones!$D$5:$D$1004,"COMPRA"))</f>
        <v>420.07</v>
      </c>
      <c r="H5" s="18">
        <f>IF(A5="","",SUMIFS(Transacciones!$H$5:$H$1004,Transacciones!$B$5:$B$1004,A5,Transacciones!$D$5:$D$1004,"COMPRA"))</f>
        <v>0.44999999999999996</v>
      </c>
      <c r="I5" s="18">
        <f>IF(A5="","",SUMIFS(Transacciones!$I$5:$I$1004,Transacciones!$B$5:$B$1004,A5,Transacciones!$D$5:$D$1004,"VENTA"))</f>
        <v>0</v>
      </c>
      <c r="J5" s="18">
        <f t="shared" ref="J5:J36" si="1">IF(A5="","",G5+H5)</f>
        <v>420.52</v>
      </c>
      <c r="K5" s="18">
        <f t="shared" ref="K5:K36" si="2">IFERROR(J5/C5,0)</f>
        <v>774.32422479192746</v>
      </c>
      <c r="L5" s="7">
        <f>IF(A5="","",IFERROR(LOOKUP(2,1/(Precios!$B$5:$B$2004=A5),Precios!$A$5:$A$2004),""))</f>
        <v>46314</v>
      </c>
      <c r="M5" s="13">
        <f>IF(A5="","",IFERROR(LOOKUP(2,1/(Precios!$B$5:$B$2004=A5),Precios!$C$5:$C$2004),0))</f>
        <v>770.89</v>
      </c>
      <c r="N5" s="18">
        <f t="shared" ref="N5:N36" si="3">IF(A5="","",F5*M5)</f>
        <v>418.6549412</v>
      </c>
      <c r="O5" s="18">
        <f t="shared" ref="O5:O36" si="4">IF(A5="","",MAX(C5-D5,0)*K5)</f>
        <v>420.52</v>
      </c>
      <c r="P5" s="18">
        <f t="shared" ref="P5:P36" si="5">IF(A5="","",MAX(C5-D5,0)*M5-O5)</f>
        <v>-1.8650587999999857</v>
      </c>
      <c r="Q5" s="18">
        <f t="shared" ref="Q5:Q36" si="6">IF(A5="","",N5-O5)</f>
        <v>-1.8650587999999857</v>
      </c>
      <c r="R5" s="29">
        <f t="shared" ref="R5:R36" si="7">IFERROR(P5/O5,0)</f>
        <v>-4.4351250832302524E-3</v>
      </c>
      <c r="S5" s="29">
        <f t="shared" ref="S5:S36" si="8">IFERROR(N5/SUM($N$5:$N$104),0)</f>
        <v>0.83268854737647957</v>
      </c>
      <c r="T5" s="30">
        <f>IF(A5="","",Activos!E5)</f>
        <v>0.85</v>
      </c>
      <c r="U5" s="29">
        <f t="shared" ref="U5:U36" si="9">IF(A5="","",S5-T5)</f>
        <v>-1.7311452623520407E-2</v>
      </c>
    </row>
    <row r="6" spans="1:21" x14ac:dyDescent="0.3">
      <c r="A6" s="10" t="str">
        <f>IF(Activos!A6="","",Activos!A6)</f>
        <v>VXUS</v>
      </c>
      <c r="B6" s="10" t="str">
        <f>IF(A6="","",Activos!C6)</f>
        <v>ETF</v>
      </c>
      <c r="C6" s="28">
        <f>IF(A6="","",SUMIFS(Transacciones!$E$5:$E$1004,Transacciones!$B$5:$B$1004,A6,Transacciones!$D$5:$D$1004,"COMPRA"))</f>
        <v>0.67273000000000005</v>
      </c>
      <c r="D6" s="28">
        <f>IF(A6="","",SUMIFS(Transacciones!$E$5:$E$1004,Transacciones!$B$5:$B$1004,A6,Transacciones!$D$5:$D$1004,"VENTA"))</f>
        <v>0</v>
      </c>
      <c r="E6" s="28">
        <f>IF(A6="","",SUMIF(Referidos!$C$5:$C$204,A6,Referidos!$D$5:$D$204))</f>
        <v>0</v>
      </c>
      <c r="F6" s="28">
        <f t="shared" si="0"/>
        <v>0.67273000000000005</v>
      </c>
      <c r="G6" s="18">
        <f>IF(A6="","",SUMIFS(Transacciones!$G$5:$G$1004,Transacciones!$B$5:$B$1004,A6,Transacciones!$D$5:$D$1004,"COMPRA"))</f>
        <v>56</v>
      </c>
      <c r="H6" s="18">
        <f>IF(A6="","",SUMIFS(Transacciones!$H$5:$H$1004,Transacciones!$B$5:$B$1004,A6,Transacciones!$D$5:$D$1004,"COMPRA"))</f>
        <v>0.3</v>
      </c>
      <c r="I6" s="18">
        <f>IF(A6="","",SUMIFS(Transacciones!$I$5:$I$1004,Transacciones!$B$5:$B$1004,A6,Transacciones!$D$5:$D$1004,"VENTA"))</f>
        <v>0</v>
      </c>
      <c r="J6" s="18">
        <f t="shared" si="1"/>
        <v>56.3</v>
      </c>
      <c r="K6" s="18">
        <f t="shared" si="2"/>
        <v>83.688849910067916</v>
      </c>
      <c r="L6" s="7">
        <f>IF(A6="","",IFERROR(LOOKUP(2,1/(Precios!$B$5:$B$2004=A6),Precios!$A$5:$A$2004),""))</f>
        <v>46314</v>
      </c>
      <c r="M6" s="13">
        <f>IF(A6="","",IFERROR(LOOKUP(2,1/(Precios!$B$5:$B$2004=A6),Precios!$C$5:$C$2004),0))</f>
        <v>83.38</v>
      </c>
      <c r="N6" s="18">
        <f t="shared" si="3"/>
        <v>56.092227399999999</v>
      </c>
      <c r="O6" s="18">
        <f t="shared" si="4"/>
        <v>56.29999999999999</v>
      </c>
      <c r="P6" s="18">
        <f t="shared" si="5"/>
        <v>-0.20777259999999131</v>
      </c>
      <c r="Q6" s="18">
        <f t="shared" si="6"/>
        <v>-0.20777259999999131</v>
      </c>
      <c r="R6" s="29">
        <f t="shared" si="7"/>
        <v>-3.6904547069270223E-3</v>
      </c>
      <c r="S6" s="29">
        <f t="shared" si="8"/>
        <v>0.11156527907908796</v>
      </c>
      <c r="T6" s="30">
        <f>IF(A6="","",Activos!E6)</f>
        <v>0.1</v>
      </c>
      <c r="U6" s="29">
        <f t="shared" si="9"/>
        <v>1.1565279079087956E-2</v>
      </c>
    </row>
    <row r="7" spans="1:21" x14ac:dyDescent="0.3">
      <c r="A7" s="10" t="str">
        <f>IF(Activos!A7="","",Activos!A7)</f>
        <v>BTC</v>
      </c>
      <c r="B7" s="10" t="str">
        <f>IF(A7="","",Activos!C7)</f>
        <v>CRIPTO</v>
      </c>
      <c r="C7" s="28">
        <f>IF(A7="","",SUMIFS(Transacciones!$E$5:$E$1004,Transacciones!$B$5:$B$1004,A7,Transacciones!$D$5:$D$1004,"COMPRA"))</f>
        <v>3.2988000000000001E-4</v>
      </c>
      <c r="D7" s="28">
        <f>IF(A7="","",SUMIFS(Transacciones!$E$5:$E$1004,Transacciones!$B$5:$B$1004,A7,Transacciones!$D$5:$D$1004,"VENTA"))</f>
        <v>0</v>
      </c>
      <c r="E7" s="28">
        <f>IF(A7="","",SUMIF(Referidos!$C$5:$C$204,A7,Referidos!$D$5:$D$204))</f>
        <v>1.1960000000000001E-5</v>
      </c>
      <c r="F7" s="28">
        <f t="shared" si="0"/>
        <v>3.4183999999999999E-4</v>
      </c>
      <c r="G7" s="18">
        <f>IF(A7="","",SUMIFS(Transacciones!$G$5:$G$1004,Transacciones!$B$5:$B$1004,A7,Transacciones!$D$5:$D$1004,"COMPRA"))</f>
        <v>27</v>
      </c>
      <c r="H7" s="18">
        <f>IF(A7="","",SUMIFS(Transacciones!$H$5:$H$1004,Transacciones!$B$5:$B$1004,A7,Transacciones!$D$5:$D$1004,"COMPRA"))</f>
        <v>0.27</v>
      </c>
      <c r="I7" s="18">
        <f>IF(A7="","",SUMIFS(Transacciones!$I$5:$I$1004,Transacciones!$B$5:$B$1004,A7,Transacciones!$D$5:$D$1004,"VENTA"))</f>
        <v>0</v>
      </c>
      <c r="J7" s="18">
        <f t="shared" si="1"/>
        <v>27.27</v>
      </c>
      <c r="K7" s="18">
        <f t="shared" si="2"/>
        <v>82666.424154237902</v>
      </c>
      <c r="L7" s="7">
        <f>IF(A7="","",IFERROR(LOOKUP(2,1/(Precios!$B$5:$B$2004=A7),Precios!$A$5:$A$2004),""))</f>
        <v>46314</v>
      </c>
      <c r="M7" s="13">
        <f>IF(A7="","",IFERROR(LOOKUP(2,1/(Precios!$B$5:$B$2004=A7),Precios!$C$5:$C$2004),0))</f>
        <v>81990.929999999993</v>
      </c>
      <c r="N7" s="18">
        <f t="shared" si="3"/>
        <v>28.027779511199999</v>
      </c>
      <c r="O7" s="18">
        <f t="shared" si="4"/>
        <v>27.27</v>
      </c>
      <c r="P7" s="18">
        <f t="shared" si="5"/>
        <v>-0.22283201160000132</v>
      </c>
      <c r="Q7" s="18">
        <f t="shared" si="6"/>
        <v>0.75777951119999898</v>
      </c>
      <c r="R7" s="29">
        <f t="shared" si="7"/>
        <v>-8.1713242244224916E-3</v>
      </c>
      <c r="S7" s="29">
        <f t="shared" si="8"/>
        <v>5.5746173544432495E-2</v>
      </c>
      <c r="T7" s="30">
        <f>IF(A7="","",Activos!E7)</f>
        <v>0.05</v>
      </c>
      <c r="U7" s="29">
        <f t="shared" si="9"/>
        <v>5.7461735444324924E-3</v>
      </c>
    </row>
    <row r="8" spans="1:21" x14ac:dyDescent="0.3">
      <c r="A8" s="10" t="str">
        <f>IF(Activos!A8="","",Activos!A8)</f>
        <v/>
      </c>
      <c r="B8" s="10" t="str">
        <f>IF(A8="","",Activos!C8)</f>
        <v/>
      </c>
      <c r="C8" s="28" t="str">
        <f>IF(A8="","",SUMIFS(Transacciones!$E$5:$E$1004,Transacciones!$B$5:$B$1004,A8,Transacciones!$D$5:$D$1004,"COMPRA"))</f>
        <v/>
      </c>
      <c r="D8" s="28" t="str">
        <f>IF(A8="","",SUMIFS(Transacciones!$E$5:$E$1004,Transacciones!$B$5:$B$1004,A8,Transacciones!$D$5:$D$1004,"VENTA"))</f>
        <v/>
      </c>
      <c r="E8" s="28" t="str">
        <f>IF(A8="","",SUMIF(Referidos!$C$5:$C$204,A8,Referidos!$D$5:$D$204))</f>
        <v/>
      </c>
      <c r="F8" s="28" t="str">
        <f t="shared" si="0"/>
        <v/>
      </c>
      <c r="G8" s="18" t="str">
        <f>IF(A8="","",SUMIFS(Transacciones!$G$5:$G$1004,Transacciones!$B$5:$B$1004,A8,Transacciones!$D$5:$D$1004,"COMPRA"))</f>
        <v/>
      </c>
      <c r="H8" s="18" t="str">
        <f>IF(A8="","",SUMIFS(Transacciones!$H$5:$H$1004,Transacciones!$B$5:$B$1004,A8,Transacciones!$D$5:$D$1004,"COMPRA"))</f>
        <v/>
      </c>
      <c r="I8" s="18" t="str">
        <f>IF(A8="","",SUMIFS(Transacciones!$I$5:$I$1004,Transacciones!$B$5:$B$1004,A8,Transacciones!$D$5:$D$1004,"VENTA"))</f>
        <v/>
      </c>
      <c r="J8" s="18" t="str">
        <f t="shared" si="1"/>
        <v/>
      </c>
      <c r="K8" s="18">
        <f t="shared" si="2"/>
        <v>0</v>
      </c>
      <c r="L8" s="7" t="str">
        <f>IF(A8="","",IFERROR(LOOKUP(2,1/(Precios!$B$5:$B$2004=A8),Precios!$A$5:$A$2004),""))</f>
        <v/>
      </c>
      <c r="M8" s="13" t="str">
        <f>IF(A8="","",IFERROR(LOOKUP(2,1/(Precios!$B$5:$B$2004=A8),Precios!$C$5:$C$2004),0))</f>
        <v/>
      </c>
      <c r="N8" s="18" t="str">
        <f t="shared" si="3"/>
        <v/>
      </c>
      <c r="O8" s="18" t="str">
        <f t="shared" si="4"/>
        <v/>
      </c>
      <c r="P8" s="18" t="str">
        <f t="shared" si="5"/>
        <v/>
      </c>
      <c r="Q8" s="18" t="str">
        <f t="shared" si="6"/>
        <v/>
      </c>
      <c r="R8" s="29">
        <f t="shared" si="7"/>
        <v>0</v>
      </c>
      <c r="S8" s="29">
        <f t="shared" si="8"/>
        <v>0</v>
      </c>
      <c r="T8" s="30" t="str">
        <f>IF(A8="","",Activos!E8)</f>
        <v/>
      </c>
      <c r="U8" s="29" t="str">
        <f t="shared" si="9"/>
        <v/>
      </c>
    </row>
    <row r="9" spans="1:21" x14ac:dyDescent="0.3">
      <c r="A9" s="10" t="str">
        <f>IF(Activos!A9="","",Activos!A9)</f>
        <v/>
      </c>
      <c r="B9" s="10" t="str">
        <f>IF(A9="","",Activos!C9)</f>
        <v/>
      </c>
      <c r="C9" s="28" t="str">
        <f>IF(A9="","",SUMIFS(Transacciones!$E$5:$E$1004,Transacciones!$B$5:$B$1004,A9,Transacciones!$D$5:$D$1004,"COMPRA"))</f>
        <v/>
      </c>
      <c r="D9" s="28" t="str">
        <f>IF(A9="","",SUMIFS(Transacciones!$E$5:$E$1004,Transacciones!$B$5:$B$1004,A9,Transacciones!$D$5:$D$1004,"VENTA"))</f>
        <v/>
      </c>
      <c r="E9" s="28" t="str">
        <f>IF(A9="","",SUMIF(Referidos!$C$5:$C$204,A9,Referidos!$D$5:$D$204))</f>
        <v/>
      </c>
      <c r="F9" s="28" t="str">
        <f t="shared" si="0"/>
        <v/>
      </c>
      <c r="G9" s="18" t="str">
        <f>IF(A9="","",SUMIFS(Transacciones!$G$5:$G$1004,Transacciones!$B$5:$B$1004,A9,Transacciones!$D$5:$D$1004,"COMPRA"))</f>
        <v/>
      </c>
      <c r="H9" s="18" t="str">
        <f>IF(A9="","",SUMIFS(Transacciones!$H$5:$H$1004,Transacciones!$B$5:$B$1004,A9,Transacciones!$D$5:$D$1004,"COMPRA"))</f>
        <v/>
      </c>
      <c r="I9" s="18" t="str">
        <f>IF(A9="","",SUMIFS(Transacciones!$I$5:$I$1004,Transacciones!$B$5:$B$1004,A9,Transacciones!$D$5:$D$1004,"VENTA"))</f>
        <v/>
      </c>
      <c r="J9" s="18" t="str">
        <f t="shared" si="1"/>
        <v/>
      </c>
      <c r="K9" s="18">
        <f t="shared" si="2"/>
        <v>0</v>
      </c>
      <c r="L9" s="7" t="str">
        <f>IF(A9="","",IFERROR(LOOKUP(2,1/(Precios!$B$5:$B$2004=A9),Precios!$A$5:$A$2004),""))</f>
        <v/>
      </c>
      <c r="M9" s="13" t="str">
        <f>IF(A9="","",IFERROR(LOOKUP(2,1/(Precios!$B$5:$B$2004=A9),Precios!$C$5:$C$2004),0))</f>
        <v/>
      </c>
      <c r="N9" s="18" t="str">
        <f t="shared" si="3"/>
        <v/>
      </c>
      <c r="O9" s="18" t="str">
        <f t="shared" si="4"/>
        <v/>
      </c>
      <c r="P9" s="18" t="str">
        <f t="shared" si="5"/>
        <v/>
      </c>
      <c r="Q9" s="18" t="str">
        <f t="shared" si="6"/>
        <v/>
      </c>
      <c r="R9" s="29">
        <f t="shared" si="7"/>
        <v>0</v>
      </c>
      <c r="S9" s="29">
        <f t="shared" si="8"/>
        <v>0</v>
      </c>
      <c r="T9" s="30" t="str">
        <f>IF(A9="","",Activos!E9)</f>
        <v/>
      </c>
      <c r="U9" s="29" t="str">
        <f t="shared" si="9"/>
        <v/>
      </c>
    </row>
    <row r="10" spans="1:21" x14ac:dyDescent="0.3">
      <c r="A10" s="10" t="str">
        <f>IF(Activos!A10="","",Activos!A10)</f>
        <v/>
      </c>
      <c r="B10" s="10" t="str">
        <f>IF(A10="","",Activos!C10)</f>
        <v/>
      </c>
      <c r="C10" s="28" t="str">
        <f>IF(A10="","",SUMIFS(Transacciones!$E$5:$E$1004,Transacciones!$B$5:$B$1004,A10,Transacciones!$D$5:$D$1004,"COMPRA"))</f>
        <v/>
      </c>
      <c r="D10" s="28" t="str">
        <f>IF(A10="","",SUMIFS(Transacciones!$E$5:$E$1004,Transacciones!$B$5:$B$1004,A10,Transacciones!$D$5:$D$1004,"VENTA"))</f>
        <v/>
      </c>
      <c r="E10" s="28" t="str">
        <f>IF(A10="","",SUMIF(Referidos!$C$5:$C$204,A10,Referidos!$D$5:$D$204))</f>
        <v/>
      </c>
      <c r="F10" s="28" t="str">
        <f t="shared" si="0"/>
        <v/>
      </c>
      <c r="G10" s="18" t="str">
        <f>IF(A10="","",SUMIFS(Transacciones!$G$5:$G$1004,Transacciones!$B$5:$B$1004,A10,Transacciones!$D$5:$D$1004,"COMPRA"))</f>
        <v/>
      </c>
      <c r="H10" s="18" t="str">
        <f>IF(A10="","",SUMIFS(Transacciones!$H$5:$H$1004,Transacciones!$B$5:$B$1004,A10,Transacciones!$D$5:$D$1004,"COMPRA"))</f>
        <v/>
      </c>
      <c r="I10" s="18" t="str">
        <f>IF(A10="","",SUMIFS(Transacciones!$I$5:$I$1004,Transacciones!$B$5:$B$1004,A10,Transacciones!$D$5:$D$1004,"VENTA"))</f>
        <v/>
      </c>
      <c r="J10" s="18" t="str">
        <f t="shared" si="1"/>
        <v/>
      </c>
      <c r="K10" s="18">
        <f t="shared" si="2"/>
        <v>0</v>
      </c>
      <c r="L10" s="7" t="str">
        <f>IF(A10="","",IFERROR(LOOKUP(2,1/(Precios!$B$5:$B$2004=A10),Precios!$A$5:$A$2004),""))</f>
        <v/>
      </c>
      <c r="M10" s="13" t="str">
        <f>IF(A10="","",IFERROR(LOOKUP(2,1/(Precios!$B$5:$B$2004=A10),Precios!$C$5:$C$2004),0))</f>
        <v/>
      </c>
      <c r="N10" s="18" t="str">
        <f t="shared" si="3"/>
        <v/>
      </c>
      <c r="O10" s="18" t="str">
        <f t="shared" si="4"/>
        <v/>
      </c>
      <c r="P10" s="18" t="str">
        <f t="shared" si="5"/>
        <v/>
      </c>
      <c r="Q10" s="18" t="str">
        <f t="shared" si="6"/>
        <v/>
      </c>
      <c r="R10" s="29">
        <f t="shared" si="7"/>
        <v>0</v>
      </c>
      <c r="S10" s="29">
        <f t="shared" si="8"/>
        <v>0</v>
      </c>
      <c r="T10" s="30" t="str">
        <f>IF(A10="","",Activos!E10)</f>
        <v/>
      </c>
      <c r="U10" s="29" t="str">
        <f t="shared" si="9"/>
        <v/>
      </c>
    </row>
    <row r="11" spans="1:21" x14ac:dyDescent="0.3">
      <c r="A11" s="10" t="str">
        <f>IF(Activos!A11="","",Activos!A11)</f>
        <v/>
      </c>
      <c r="B11" s="10" t="str">
        <f>IF(A11="","",Activos!C11)</f>
        <v/>
      </c>
      <c r="C11" s="28" t="str">
        <f>IF(A11="","",SUMIFS(Transacciones!$E$5:$E$1004,Transacciones!$B$5:$B$1004,A11,Transacciones!$D$5:$D$1004,"COMPRA"))</f>
        <v/>
      </c>
      <c r="D11" s="28" t="str">
        <f>IF(A11="","",SUMIFS(Transacciones!$E$5:$E$1004,Transacciones!$B$5:$B$1004,A11,Transacciones!$D$5:$D$1004,"VENTA"))</f>
        <v/>
      </c>
      <c r="E11" s="28" t="str">
        <f>IF(A11="","",SUMIF(Referidos!$C$5:$C$204,A11,Referidos!$D$5:$D$204))</f>
        <v/>
      </c>
      <c r="F11" s="28" t="str">
        <f t="shared" si="0"/>
        <v/>
      </c>
      <c r="G11" s="18" t="str">
        <f>IF(A11="","",SUMIFS(Transacciones!$G$5:$G$1004,Transacciones!$B$5:$B$1004,A11,Transacciones!$D$5:$D$1004,"COMPRA"))</f>
        <v/>
      </c>
      <c r="H11" s="18" t="str">
        <f>IF(A11="","",SUMIFS(Transacciones!$H$5:$H$1004,Transacciones!$B$5:$B$1004,A11,Transacciones!$D$5:$D$1004,"COMPRA"))</f>
        <v/>
      </c>
      <c r="I11" s="18" t="str">
        <f>IF(A11="","",SUMIFS(Transacciones!$I$5:$I$1004,Transacciones!$B$5:$B$1004,A11,Transacciones!$D$5:$D$1004,"VENTA"))</f>
        <v/>
      </c>
      <c r="J11" s="18" t="str">
        <f t="shared" si="1"/>
        <v/>
      </c>
      <c r="K11" s="18">
        <f t="shared" si="2"/>
        <v>0</v>
      </c>
      <c r="L11" s="7" t="str">
        <f>IF(A11="","",IFERROR(LOOKUP(2,1/(Precios!$B$5:$B$2004=A11),Precios!$A$5:$A$2004),""))</f>
        <v/>
      </c>
      <c r="M11" s="13" t="str">
        <f>IF(A11="","",IFERROR(LOOKUP(2,1/(Precios!$B$5:$B$2004=A11),Precios!$C$5:$C$2004),0))</f>
        <v/>
      </c>
      <c r="N11" s="18" t="str">
        <f t="shared" si="3"/>
        <v/>
      </c>
      <c r="O11" s="18" t="str">
        <f t="shared" si="4"/>
        <v/>
      </c>
      <c r="P11" s="18" t="str">
        <f t="shared" si="5"/>
        <v/>
      </c>
      <c r="Q11" s="18" t="str">
        <f t="shared" si="6"/>
        <v/>
      </c>
      <c r="R11" s="29">
        <f t="shared" si="7"/>
        <v>0</v>
      </c>
      <c r="S11" s="29">
        <f t="shared" si="8"/>
        <v>0</v>
      </c>
      <c r="T11" s="30" t="str">
        <f>IF(A11="","",Activos!E11)</f>
        <v/>
      </c>
      <c r="U11" s="29" t="str">
        <f t="shared" si="9"/>
        <v/>
      </c>
    </row>
    <row r="12" spans="1:21" x14ac:dyDescent="0.3">
      <c r="A12" s="10" t="str">
        <f>IF(Activos!A12="","",Activos!A12)</f>
        <v/>
      </c>
      <c r="B12" s="10" t="str">
        <f>IF(A12="","",Activos!C12)</f>
        <v/>
      </c>
      <c r="C12" s="28" t="str">
        <f>IF(A12="","",SUMIFS(Transacciones!$E$5:$E$1004,Transacciones!$B$5:$B$1004,A12,Transacciones!$D$5:$D$1004,"COMPRA"))</f>
        <v/>
      </c>
      <c r="D12" s="28" t="str">
        <f>IF(A12="","",SUMIFS(Transacciones!$E$5:$E$1004,Transacciones!$B$5:$B$1004,A12,Transacciones!$D$5:$D$1004,"VENTA"))</f>
        <v/>
      </c>
      <c r="E12" s="28" t="str">
        <f>IF(A12="","",SUMIF(Referidos!$C$5:$C$204,A12,Referidos!$D$5:$D$204))</f>
        <v/>
      </c>
      <c r="F12" s="28" t="str">
        <f t="shared" si="0"/>
        <v/>
      </c>
      <c r="G12" s="18" t="str">
        <f>IF(A12="","",SUMIFS(Transacciones!$G$5:$G$1004,Transacciones!$B$5:$B$1004,A12,Transacciones!$D$5:$D$1004,"COMPRA"))</f>
        <v/>
      </c>
      <c r="H12" s="18" t="str">
        <f>IF(A12="","",SUMIFS(Transacciones!$H$5:$H$1004,Transacciones!$B$5:$B$1004,A12,Transacciones!$D$5:$D$1004,"COMPRA"))</f>
        <v/>
      </c>
      <c r="I12" s="18" t="str">
        <f>IF(A12="","",SUMIFS(Transacciones!$I$5:$I$1004,Transacciones!$B$5:$B$1004,A12,Transacciones!$D$5:$D$1004,"VENTA"))</f>
        <v/>
      </c>
      <c r="J12" s="18" t="str">
        <f t="shared" si="1"/>
        <v/>
      </c>
      <c r="K12" s="18">
        <f t="shared" si="2"/>
        <v>0</v>
      </c>
      <c r="L12" s="7" t="str">
        <f>IF(A12="","",IFERROR(LOOKUP(2,1/(Precios!$B$5:$B$2004=A12),Precios!$A$5:$A$2004),""))</f>
        <v/>
      </c>
      <c r="M12" s="13" t="str">
        <f>IF(A12="","",IFERROR(LOOKUP(2,1/(Precios!$B$5:$B$2004=A12),Precios!$C$5:$C$2004),0))</f>
        <v/>
      </c>
      <c r="N12" s="18" t="str">
        <f t="shared" si="3"/>
        <v/>
      </c>
      <c r="O12" s="18" t="str">
        <f t="shared" si="4"/>
        <v/>
      </c>
      <c r="P12" s="18" t="str">
        <f t="shared" si="5"/>
        <v/>
      </c>
      <c r="Q12" s="18" t="str">
        <f t="shared" si="6"/>
        <v/>
      </c>
      <c r="R12" s="29">
        <f t="shared" si="7"/>
        <v>0</v>
      </c>
      <c r="S12" s="29">
        <f t="shared" si="8"/>
        <v>0</v>
      </c>
      <c r="T12" s="30" t="str">
        <f>IF(A12="","",Activos!E12)</f>
        <v/>
      </c>
      <c r="U12" s="29" t="str">
        <f t="shared" si="9"/>
        <v/>
      </c>
    </row>
    <row r="13" spans="1:21" x14ac:dyDescent="0.3">
      <c r="A13" s="10" t="str">
        <f>IF(Activos!A13="","",Activos!A13)</f>
        <v/>
      </c>
      <c r="B13" s="10" t="str">
        <f>IF(A13="","",Activos!C13)</f>
        <v/>
      </c>
      <c r="C13" s="28" t="str">
        <f>IF(A13="","",SUMIFS(Transacciones!$E$5:$E$1004,Transacciones!$B$5:$B$1004,A13,Transacciones!$D$5:$D$1004,"COMPRA"))</f>
        <v/>
      </c>
      <c r="D13" s="28" t="str">
        <f>IF(A13="","",SUMIFS(Transacciones!$E$5:$E$1004,Transacciones!$B$5:$B$1004,A13,Transacciones!$D$5:$D$1004,"VENTA"))</f>
        <v/>
      </c>
      <c r="E13" s="28" t="str">
        <f>IF(A13="","",SUMIF(Referidos!$C$5:$C$204,A13,Referidos!$D$5:$D$204))</f>
        <v/>
      </c>
      <c r="F13" s="28" t="str">
        <f t="shared" si="0"/>
        <v/>
      </c>
      <c r="G13" s="18" t="str">
        <f>IF(A13="","",SUMIFS(Transacciones!$G$5:$G$1004,Transacciones!$B$5:$B$1004,A13,Transacciones!$D$5:$D$1004,"COMPRA"))</f>
        <v/>
      </c>
      <c r="H13" s="18" t="str">
        <f>IF(A13="","",SUMIFS(Transacciones!$H$5:$H$1004,Transacciones!$B$5:$B$1004,A13,Transacciones!$D$5:$D$1004,"COMPRA"))</f>
        <v/>
      </c>
      <c r="I13" s="18" t="str">
        <f>IF(A13="","",SUMIFS(Transacciones!$I$5:$I$1004,Transacciones!$B$5:$B$1004,A13,Transacciones!$D$5:$D$1004,"VENTA"))</f>
        <v/>
      </c>
      <c r="J13" s="18" t="str">
        <f t="shared" si="1"/>
        <v/>
      </c>
      <c r="K13" s="18">
        <f t="shared" si="2"/>
        <v>0</v>
      </c>
      <c r="L13" s="7" t="str">
        <f>IF(A13="","",IFERROR(LOOKUP(2,1/(Precios!$B$5:$B$2004=A13),Precios!$A$5:$A$2004),""))</f>
        <v/>
      </c>
      <c r="M13" s="13" t="str">
        <f>IF(A13="","",IFERROR(LOOKUP(2,1/(Precios!$B$5:$B$2004=A13),Precios!$C$5:$C$2004),0))</f>
        <v/>
      </c>
      <c r="N13" s="18" t="str">
        <f t="shared" si="3"/>
        <v/>
      </c>
      <c r="O13" s="18" t="str">
        <f t="shared" si="4"/>
        <v/>
      </c>
      <c r="P13" s="18" t="str">
        <f t="shared" si="5"/>
        <v/>
      </c>
      <c r="Q13" s="18" t="str">
        <f t="shared" si="6"/>
        <v/>
      </c>
      <c r="R13" s="29">
        <f t="shared" si="7"/>
        <v>0</v>
      </c>
      <c r="S13" s="29">
        <f t="shared" si="8"/>
        <v>0</v>
      </c>
      <c r="T13" s="30" t="str">
        <f>IF(A13="","",Activos!E13)</f>
        <v/>
      </c>
      <c r="U13" s="29" t="str">
        <f t="shared" si="9"/>
        <v/>
      </c>
    </row>
    <row r="14" spans="1:21" x14ac:dyDescent="0.3">
      <c r="A14" s="10" t="str">
        <f>IF(Activos!A14="","",Activos!A14)</f>
        <v/>
      </c>
      <c r="B14" s="10" t="str">
        <f>IF(A14="","",Activos!C14)</f>
        <v/>
      </c>
      <c r="C14" s="28" t="str">
        <f>IF(A14="","",SUMIFS(Transacciones!$E$5:$E$1004,Transacciones!$B$5:$B$1004,A14,Transacciones!$D$5:$D$1004,"COMPRA"))</f>
        <v/>
      </c>
      <c r="D14" s="28" t="str">
        <f>IF(A14="","",SUMIFS(Transacciones!$E$5:$E$1004,Transacciones!$B$5:$B$1004,A14,Transacciones!$D$5:$D$1004,"VENTA"))</f>
        <v/>
      </c>
      <c r="E14" s="28" t="str">
        <f>IF(A14="","",SUMIF(Referidos!$C$5:$C$204,A14,Referidos!$D$5:$D$204))</f>
        <v/>
      </c>
      <c r="F14" s="28" t="str">
        <f t="shared" si="0"/>
        <v/>
      </c>
      <c r="G14" s="18" t="str">
        <f>IF(A14="","",SUMIFS(Transacciones!$G$5:$G$1004,Transacciones!$B$5:$B$1004,A14,Transacciones!$D$5:$D$1004,"COMPRA"))</f>
        <v/>
      </c>
      <c r="H14" s="18" t="str">
        <f>IF(A14="","",SUMIFS(Transacciones!$H$5:$H$1004,Transacciones!$B$5:$B$1004,A14,Transacciones!$D$5:$D$1004,"COMPRA"))</f>
        <v/>
      </c>
      <c r="I14" s="18" t="str">
        <f>IF(A14="","",SUMIFS(Transacciones!$I$5:$I$1004,Transacciones!$B$5:$B$1004,A14,Transacciones!$D$5:$D$1004,"VENTA"))</f>
        <v/>
      </c>
      <c r="J14" s="18" t="str">
        <f t="shared" si="1"/>
        <v/>
      </c>
      <c r="K14" s="18">
        <f t="shared" si="2"/>
        <v>0</v>
      </c>
      <c r="L14" s="7" t="str">
        <f>IF(A14="","",IFERROR(LOOKUP(2,1/(Precios!$B$5:$B$2004=A14),Precios!$A$5:$A$2004),""))</f>
        <v/>
      </c>
      <c r="M14" s="13" t="str">
        <f>IF(A14="","",IFERROR(LOOKUP(2,1/(Precios!$B$5:$B$2004=A14),Precios!$C$5:$C$2004),0))</f>
        <v/>
      </c>
      <c r="N14" s="18" t="str">
        <f t="shared" si="3"/>
        <v/>
      </c>
      <c r="O14" s="18" t="str">
        <f t="shared" si="4"/>
        <v/>
      </c>
      <c r="P14" s="18" t="str">
        <f t="shared" si="5"/>
        <v/>
      </c>
      <c r="Q14" s="18" t="str">
        <f t="shared" si="6"/>
        <v/>
      </c>
      <c r="R14" s="29">
        <f t="shared" si="7"/>
        <v>0</v>
      </c>
      <c r="S14" s="29">
        <f t="shared" si="8"/>
        <v>0</v>
      </c>
      <c r="T14" s="30" t="str">
        <f>IF(A14="","",Activos!E14)</f>
        <v/>
      </c>
      <c r="U14" s="29" t="str">
        <f t="shared" si="9"/>
        <v/>
      </c>
    </row>
    <row r="15" spans="1:21" x14ac:dyDescent="0.3">
      <c r="A15" s="10" t="str">
        <f>IF(Activos!A15="","",Activos!A15)</f>
        <v/>
      </c>
      <c r="B15" s="10" t="str">
        <f>IF(A15="","",Activos!C15)</f>
        <v/>
      </c>
      <c r="C15" s="28" t="str">
        <f>IF(A15="","",SUMIFS(Transacciones!$E$5:$E$1004,Transacciones!$B$5:$B$1004,A15,Transacciones!$D$5:$D$1004,"COMPRA"))</f>
        <v/>
      </c>
      <c r="D15" s="28" t="str">
        <f>IF(A15="","",SUMIFS(Transacciones!$E$5:$E$1004,Transacciones!$B$5:$B$1004,A15,Transacciones!$D$5:$D$1004,"VENTA"))</f>
        <v/>
      </c>
      <c r="E15" s="28" t="str">
        <f>IF(A15="","",SUMIF(Referidos!$C$5:$C$204,A15,Referidos!$D$5:$D$204))</f>
        <v/>
      </c>
      <c r="F15" s="28" t="str">
        <f t="shared" si="0"/>
        <v/>
      </c>
      <c r="G15" s="18" t="str">
        <f>IF(A15="","",SUMIFS(Transacciones!$G$5:$G$1004,Transacciones!$B$5:$B$1004,A15,Transacciones!$D$5:$D$1004,"COMPRA"))</f>
        <v/>
      </c>
      <c r="H15" s="18" t="str">
        <f>IF(A15="","",SUMIFS(Transacciones!$H$5:$H$1004,Transacciones!$B$5:$B$1004,A15,Transacciones!$D$5:$D$1004,"COMPRA"))</f>
        <v/>
      </c>
      <c r="I15" s="18" t="str">
        <f>IF(A15="","",SUMIFS(Transacciones!$I$5:$I$1004,Transacciones!$B$5:$B$1004,A15,Transacciones!$D$5:$D$1004,"VENTA"))</f>
        <v/>
      </c>
      <c r="J15" s="18" t="str">
        <f t="shared" si="1"/>
        <v/>
      </c>
      <c r="K15" s="18">
        <f t="shared" si="2"/>
        <v>0</v>
      </c>
      <c r="L15" s="7" t="str">
        <f>IF(A15="","",IFERROR(LOOKUP(2,1/(Precios!$B$5:$B$2004=A15),Precios!$A$5:$A$2004),""))</f>
        <v/>
      </c>
      <c r="M15" s="13" t="str">
        <f>IF(A15="","",IFERROR(LOOKUP(2,1/(Precios!$B$5:$B$2004=A15),Precios!$C$5:$C$2004),0))</f>
        <v/>
      </c>
      <c r="N15" s="18" t="str">
        <f t="shared" si="3"/>
        <v/>
      </c>
      <c r="O15" s="18" t="str">
        <f t="shared" si="4"/>
        <v/>
      </c>
      <c r="P15" s="18" t="str">
        <f t="shared" si="5"/>
        <v/>
      </c>
      <c r="Q15" s="18" t="str">
        <f t="shared" si="6"/>
        <v/>
      </c>
      <c r="R15" s="29">
        <f t="shared" si="7"/>
        <v>0</v>
      </c>
      <c r="S15" s="29">
        <f t="shared" si="8"/>
        <v>0</v>
      </c>
      <c r="T15" s="30" t="str">
        <f>IF(A15="","",Activos!E15)</f>
        <v/>
      </c>
      <c r="U15" s="29" t="str">
        <f t="shared" si="9"/>
        <v/>
      </c>
    </row>
    <row r="16" spans="1:21" x14ac:dyDescent="0.3">
      <c r="A16" s="10" t="str">
        <f>IF(Activos!A16="","",Activos!A16)</f>
        <v/>
      </c>
      <c r="B16" s="10" t="str">
        <f>IF(A16="","",Activos!C16)</f>
        <v/>
      </c>
      <c r="C16" s="28" t="str">
        <f>IF(A16="","",SUMIFS(Transacciones!$E$5:$E$1004,Transacciones!$B$5:$B$1004,A16,Transacciones!$D$5:$D$1004,"COMPRA"))</f>
        <v/>
      </c>
      <c r="D16" s="28" t="str">
        <f>IF(A16="","",SUMIFS(Transacciones!$E$5:$E$1004,Transacciones!$B$5:$B$1004,A16,Transacciones!$D$5:$D$1004,"VENTA"))</f>
        <v/>
      </c>
      <c r="E16" s="28" t="str">
        <f>IF(A16="","",SUMIF(Referidos!$C$5:$C$204,A16,Referidos!$D$5:$D$204))</f>
        <v/>
      </c>
      <c r="F16" s="28" t="str">
        <f t="shared" si="0"/>
        <v/>
      </c>
      <c r="G16" s="18" t="str">
        <f>IF(A16="","",SUMIFS(Transacciones!$G$5:$G$1004,Transacciones!$B$5:$B$1004,A16,Transacciones!$D$5:$D$1004,"COMPRA"))</f>
        <v/>
      </c>
      <c r="H16" s="18" t="str">
        <f>IF(A16="","",SUMIFS(Transacciones!$H$5:$H$1004,Transacciones!$B$5:$B$1004,A16,Transacciones!$D$5:$D$1004,"COMPRA"))</f>
        <v/>
      </c>
      <c r="I16" s="18" t="str">
        <f>IF(A16="","",SUMIFS(Transacciones!$I$5:$I$1004,Transacciones!$B$5:$B$1004,A16,Transacciones!$D$5:$D$1004,"VENTA"))</f>
        <v/>
      </c>
      <c r="J16" s="18" t="str">
        <f t="shared" si="1"/>
        <v/>
      </c>
      <c r="K16" s="18">
        <f t="shared" si="2"/>
        <v>0</v>
      </c>
      <c r="L16" s="7" t="str">
        <f>IF(A16="","",IFERROR(LOOKUP(2,1/(Precios!$B$5:$B$2004=A16),Precios!$A$5:$A$2004),""))</f>
        <v/>
      </c>
      <c r="M16" s="13" t="str">
        <f>IF(A16="","",IFERROR(LOOKUP(2,1/(Precios!$B$5:$B$2004=A16),Precios!$C$5:$C$2004),0))</f>
        <v/>
      </c>
      <c r="N16" s="18" t="str">
        <f t="shared" si="3"/>
        <v/>
      </c>
      <c r="O16" s="18" t="str">
        <f t="shared" si="4"/>
        <v/>
      </c>
      <c r="P16" s="18" t="str">
        <f t="shared" si="5"/>
        <v/>
      </c>
      <c r="Q16" s="18" t="str">
        <f t="shared" si="6"/>
        <v/>
      </c>
      <c r="R16" s="29">
        <f t="shared" si="7"/>
        <v>0</v>
      </c>
      <c r="S16" s="29">
        <f t="shared" si="8"/>
        <v>0</v>
      </c>
      <c r="T16" s="30" t="str">
        <f>IF(A16="","",Activos!E16)</f>
        <v/>
      </c>
      <c r="U16" s="29" t="str">
        <f t="shared" si="9"/>
        <v/>
      </c>
    </row>
    <row r="17" spans="1:21" x14ac:dyDescent="0.3">
      <c r="A17" s="10" t="str">
        <f>IF(Activos!A17="","",Activos!A17)</f>
        <v/>
      </c>
      <c r="B17" s="10" t="str">
        <f>IF(A17="","",Activos!C17)</f>
        <v/>
      </c>
      <c r="C17" s="28" t="str">
        <f>IF(A17="","",SUMIFS(Transacciones!$E$5:$E$1004,Transacciones!$B$5:$B$1004,A17,Transacciones!$D$5:$D$1004,"COMPRA"))</f>
        <v/>
      </c>
      <c r="D17" s="28" t="str">
        <f>IF(A17="","",SUMIFS(Transacciones!$E$5:$E$1004,Transacciones!$B$5:$B$1004,A17,Transacciones!$D$5:$D$1004,"VENTA"))</f>
        <v/>
      </c>
      <c r="E17" s="28" t="str">
        <f>IF(A17="","",SUMIF(Referidos!$C$5:$C$204,A17,Referidos!$D$5:$D$204))</f>
        <v/>
      </c>
      <c r="F17" s="28" t="str">
        <f t="shared" si="0"/>
        <v/>
      </c>
      <c r="G17" s="18" t="str">
        <f>IF(A17="","",SUMIFS(Transacciones!$G$5:$G$1004,Transacciones!$B$5:$B$1004,A17,Transacciones!$D$5:$D$1004,"COMPRA"))</f>
        <v/>
      </c>
      <c r="H17" s="18" t="str">
        <f>IF(A17="","",SUMIFS(Transacciones!$H$5:$H$1004,Transacciones!$B$5:$B$1004,A17,Transacciones!$D$5:$D$1004,"COMPRA"))</f>
        <v/>
      </c>
      <c r="I17" s="18" t="str">
        <f>IF(A17="","",SUMIFS(Transacciones!$I$5:$I$1004,Transacciones!$B$5:$B$1004,A17,Transacciones!$D$5:$D$1004,"VENTA"))</f>
        <v/>
      </c>
      <c r="J17" s="18" t="str">
        <f t="shared" si="1"/>
        <v/>
      </c>
      <c r="K17" s="18">
        <f t="shared" si="2"/>
        <v>0</v>
      </c>
      <c r="L17" s="7" t="str">
        <f>IF(A17="","",IFERROR(LOOKUP(2,1/(Precios!$B$5:$B$2004=A17),Precios!$A$5:$A$2004),""))</f>
        <v/>
      </c>
      <c r="M17" s="13" t="str">
        <f>IF(A17="","",IFERROR(LOOKUP(2,1/(Precios!$B$5:$B$2004=A17),Precios!$C$5:$C$2004),0))</f>
        <v/>
      </c>
      <c r="N17" s="18" t="str">
        <f t="shared" si="3"/>
        <v/>
      </c>
      <c r="O17" s="18" t="str">
        <f t="shared" si="4"/>
        <v/>
      </c>
      <c r="P17" s="18" t="str">
        <f t="shared" si="5"/>
        <v/>
      </c>
      <c r="Q17" s="18" t="str">
        <f t="shared" si="6"/>
        <v/>
      </c>
      <c r="R17" s="29">
        <f t="shared" si="7"/>
        <v>0</v>
      </c>
      <c r="S17" s="29">
        <f t="shared" si="8"/>
        <v>0</v>
      </c>
      <c r="T17" s="30" t="str">
        <f>IF(A17="","",Activos!E17)</f>
        <v/>
      </c>
      <c r="U17" s="29" t="str">
        <f t="shared" si="9"/>
        <v/>
      </c>
    </row>
    <row r="18" spans="1:21" x14ac:dyDescent="0.3">
      <c r="A18" s="10" t="str">
        <f>IF(Activos!A18="","",Activos!A18)</f>
        <v/>
      </c>
      <c r="B18" s="10" t="str">
        <f>IF(A18="","",Activos!C18)</f>
        <v/>
      </c>
      <c r="C18" s="28" t="str">
        <f>IF(A18="","",SUMIFS(Transacciones!$E$5:$E$1004,Transacciones!$B$5:$B$1004,A18,Transacciones!$D$5:$D$1004,"COMPRA"))</f>
        <v/>
      </c>
      <c r="D18" s="28" t="str">
        <f>IF(A18="","",SUMIFS(Transacciones!$E$5:$E$1004,Transacciones!$B$5:$B$1004,A18,Transacciones!$D$5:$D$1004,"VENTA"))</f>
        <v/>
      </c>
      <c r="E18" s="28" t="str">
        <f>IF(A18="","",SUMIF(Referidos!$C$5:$C$204,A18,Referidos!$D$5:$D$204))</f>
        <v/>
      </c>
      <c r="F18" s="28" t="str">
        <f t="shared" si="0"/>
        <v/>
      </c>
      <c r="G18" s="18" t="str">
        <f>IF(A18="","",SUMIFS(Transacciones!$G$5:$G$1004,Transacciones!$B$5:$B$1004,A18,Transacciones!$D$5:$D$1004,"COMPRA"))</f>
        <v/>
      </c>
      <c r="H18" s="18" t="str">
        <f>IF(A18="","",SUMIFS(Transacciones!$H$5:$H$1004,Transacciones!$B$5:$B$1004,A18,Transacciones!$D$5:$D$1004,"COMPRA"))</f>
        <v/>
      </c>
      <c r="I18" s="18" t="str">
        <f>IF(A18="","",SUMIFS(Transacciones!$I$5:$I$1004,Transacciones!$B$5:$B$1004,A18,Transacciones!$D$5:$D$1004,"VENTA"))</f>
        <v/>
      </c>
      <c r="J18" s="18" t="str">
        <f t="shared" si="1"/>
        <v/>
      </c>
      <c r="K18" s="18">
        <f t="shared" si="2"/>
        <v>0</v>
      </c>
      <c r="L18" s="7" t="str">
        <f>IF(A18="","",IFERROR(LOOKUP(2,1/(Precios!$B$5:$B$2004=A18),Precios!$A$5:$A$2004),""))</f>
        <v/>
      </c>
      <c r="M18" s="13" t="str">
        <f>IF(A18="","",IFERROR(LOOKUP(2,1/(Precios!$B$5:$B$2004=A18),Precios!$C$5:$C$2004),0))</f>
        <v/>
      </c>
      <c r="N18" s="18" t="str">
        <f t="shared" si="3"/>
        <v/>
      </c>
      <c r="O18" s="18" t="str">
        <f t="shared" si="4"/>
        <v/>
      </c>
      <c r="P18" s="18" t="str">
        <f t="shared" si="5"/>
        <v/>
      </c>
      <c r="Q18" s="18" t="str">
        <f t="shared" si="6"/>
        <v/>
      </c>
      <c r="R18" s="29">
        <f t="shared" si="7"/>
        <v>0</v>
      </c>
      <c r="S18" s="29">
        <f t="shared" si="8"/>
        <v>0</v>
      </c>
      <c r="T18" s="30" t="str">
        <f>IF(A18="","",Activos!E18)</f>
        <v/>
      </c>
      <c r="U18" s="29" t="str">
        <f t="shared" si="9"/>
        <v/>
      </c>
    </row>
    <row r="19" spans="1:21" x14ac:dyDescent="0.3">
      <c r="A19" s="10" t="str">
        <f>IF(Activos!A19="","",Activos!A19)</f>
        <v/>
      </c>
      <c r="B19" s="10" t="str">
        <f>IF(A19="","",Activos!C19)</f>
        <v/>
      </c>
      <c r="C19" s="28" t="str">
        <f>IF(A19="","",SUMIFS(Transacciones!$E$5:$E$1004,Transacciones!$B$5:$B$1004,A19,Transacciones!$D$5:$D$1004,"COMPRA"))</f>
        <v/>
      </c>
      <c r="D19" s="28" t="str">
        <f>IF(A19="","",SUMIFS(Transacciones!$E$5:$E$1004,Transacciones!$B$5:$B$1004,A19,Transacciones!$D$5:$D$1004,"VENTA"))</f>
        <v/>
      </c>
      <c r="E19" s="28" t="str">
        <f>IF(A19="","",SUMIF(Referidos!$C$5:$C$204,A19,Referidos!$D$5:$D$204))</f>
        <v/>
      </c>
      <c r="F19" s="28" t="str">
        <f t="shared" si="0"/>
        <v/>
      </c>
      <c r="G19" s="18" t="str">
        <f>IF(A19="","",SUMIFS(Transacciones!$G$5:$G$1004,Transacciones!$B$5:$B$1004,A19,Transacciones!$D$5:$D$1004,"COMPRA"))</f>
        <v/>
      </c>
      <c r="H19" s="18" t="str">
        <f>IF(A19="","",SUMIFS(Transacciones!$H$5:$H$1004,Transacciones!$B$5:$B$1004,A19,Transacciones!$D$5:$D$1004,"COMPRA"))</f>
        <v/>
      </c>
      <c r="I19" s="18" t="str">
        <f>IF(A19="","",SUMIFS(Transacciones!$I$5:$I$1004,Transacciones!$B$5:$B$1004,A19,Transacciones!$D$5:$D$1004,"VENTA"))</f>
        <v/>
      </c>
      <c r="J19" s="18" t="str">
        <f t="shared" si="1"/>
        <v/>
      </c>
      <c r="K19" s="18">
        <f t="shared" si="2"/>
        <v>0</v>
      </c>
      <c r="L19" s="7" t="str">
        <f>IF(A19="","",IFERROR(LOOKUP(2,1/(Precios!$B$5:$B$2004=A19),Precios!$A$5:$A$2004),""))</f>
        <v/>
      </c>
      <c r="M19" s="13" t="str">
        <f>IF(A19="","",IFERROR(LOOKUP(2,1/(Precios!$B$5:$B$2004=A19),Precios!$C$5:$C$2004),0))</f>
        <v/>
      </c>
      <c r="N19" s="18" t="str">
        <f t="shared" si="3"/>
        <v/>
      </c>
      <c r="O19" s="18" t="str">
        <f t="shared" si="4"/>
        <v/>
      </c>
      <c r="P19" s="18" t="str">
        <f t="shared" si="5"/>
        <v/>
      </c>
      <c r="Q19" s="18" t="str">
        <f t="shared" si="6"/>
        <v/>
      </c>
      <c r="R19" s="29">
        <f t="shared" si="7"/>
        <v>0</v>
      </c>
      <c r="S19" s="29">
        <f t="shared" si="8"/>
        <v>0</v>
      </c>
      <c r="T19" s="30" t="str">
        <f>IF(A19="","",Activos!E19)</f>
        <v/>
      </c>
      <c r="U19" s="29" t="str">
        <f t="shared" si="9"/>
        <v/>
      </c>
    </row>
    <row r="20" spans="1:21" x14ac:dyDescent="0.3">
      <c r="A20" s="10" t="str">
        <f>IF(Activos!A20="","",Activos!A20)</f>
        <v/>
      </c>
      <c r="B20" s="10" t="str">
        <f>IF(A20="","",Activos!C20)</f>
        <v/>
      </c>
      <c r="C20" s="28" t="str">
        <f>IF(A20="","",SUMIFS(Transacciones!$E$5:$E$1004,Transacciones!$B$5:$B$1004,A20,Transacciones!$D$5:$D$1004,"COMPRA"))</f>
        <v/>
      </c>
      <c r="D20" s="28" t="str">
        <f>IF(A20="","",SUMIFS(Transacciones!$E$5:$E$1004,Transacciones!$B$5:$B$1004,A20,Transacciones!$D$5:$D$1004,"VENTA"))</f>
        <v/>
      </c>
      <c r="E20" s="28" t="str">
        <f>IF(A20="","",SUMIF(Referidos!$C$5:$C$204,A20,Referidos!$D$5:$D$204))</f>
        <v/>
      </c>
      <c r="F20" s="28" t="str">
        <f t="shared" si="0"/>
        <v/>
      </c>
      <c r="G20" s="18" t="str">
        <f>IF(A20="","",SUMIFS(Transacciones!$G$5:$G$1004,Transacciones!$B$5:$B$1004,A20,Transacciones!$D$5:$D$1004,"COMPRA"))</f>
        <v/>
      </c>
      <c r="H20" s="18" t="str">
        <f>IF(A20="","",SUMIFS(Transacciones!$H$5:$H$1004,Transacciones!$B$5:$B$1004,A20,Transacciones!$D$5:$D$1004,"COMPRA"))</f>
        <v/>
      </c>
      <c r="I20" s="18" t="str">
        <f>IF(A20="","",SUMIFS(Transacciones!$I$5:$I$1004,Transacciones!$B$5:$B$1004,A20,Transacciones!$D$5:$D$1004,"VENTA"))</f>
        <v/>
      </c>
      <c r="J20" s="18" t="str">
        <f t="shared" si="1"/>
        <v/>
      </c>
      <c r="K20" s="18">
        <f t="shared" si="2"/>
        <v>0</v>
      </c>
      <c r="L20" s="7" t="str">
        <f>IF(A20="","",IFERROR(LOOKUP(2,1/(Precios!$B$5:$B$2004=A20),Precios!$A$5:$A$2004),""))</f>
        <v/>
      </c>
      <c r="M20" s="13" t="str">
        <f>IF(A20="","",IFERROR(LOOKUP(2,1/(Precios!$B$5:$B$2004=A20),Precios!$C$5:$C$2004),0))</f>
        <v/>
      </c>
      <c r="N20" s="18" t="str">
        <f t="shared" si="3"/>
        <v/>
      </c>
      <c r="O20" s="18" t="str">
        <f t="shared" si="4"/>
        <v/>
      </c>
      <c r="P20" s="18" t="str">
        <f t="shared" si="5"/>
        <v/>
      </c>
      <c r="Q20" s="18" t="str">
        <f t="shared" si="6"/>
        <v/>
      </c>
      <c r="R20" s="29">
        <f t="shared" si="7"/>
        <v>0</v>
      </c>
      <c r="S20" s="29">
        <f t="shared" si="8"/>
        <v>0</v>
      </c>
      <c r="T20" s="30" t="str">
        <f>IF(A20="","",Activos!E20)</f>
        <v/>
      </c>
      <c r="U20" s="29" t="str">
        <f t="shared" si="9"/>
        <v/>
      </c>
    </row>
    <row r="21" spans="1:21" x14ac:dyDescent="0.3">
      <c r="A21" s="10" t="str">
        <f>IF(Activos!A21="","",Activos!A21)</f>
        <v/>
      </c>
      <c r="B21" s="10" t="str">
        <f>IF(A21="","",Activos!C21)</f>
        <v/>
      </c>
      <c r="C21" s="28" t="str">
        <f>IF(A21="","",SUMIFS(Transacciones!$E$5:$E$1004,Transacciones!$B$5:$B$1004,A21,Transacciones!$D$5:$D$1004,"COMPRA"))</f>
        <v/>
      </c>
      <c r="D21" s="28" t="str">
        <f>IF(A21="","",SUMIFS(Transacciones!$E$5:$E$1004,Transacciones!$B$5:$B$1004,A21,Transacciones!$D$5:$D$1004,"VENTA"))</f>
        <v/>
      </c>
      <c r="E21" s="28" t="str">
        <f>IF(A21="","",SUMIF(Referidos!$C$5:$C$204,A21,Referidos!$D$5:$D$204))</f>
        <v/>
      </c>
      <c r="F21" s="28" t="str">
        <f t="shared" si="0"/>
        <v/>
      </c>
      <c r="G21" s="18" t="str">
        <f>IF(A21="","",SUMIFS(Transacciones!$G$5:$G$1004,Transacciones!$B$5:$B$1004,A21,Transacciones!$D$5:$D$1004,"COMPRA"))</f>
        <v/>
      </c>
      <c r="H21" s="18" t="str">
        <f>IF(A21="","",SUMIFS(Transacciones!$H$5:$H$1004,Transacciones!$B$5:$B$1004,A21,Transacciones!$D$5:$D$1004,"COMPRA"))</f>
        <v/>
      </c>
      <c r="I21" s="18" t="str">
        <f>IF(A21="","",SUMIFS(Transacciones!$I$5:$I$1004,Transacciones!$B$5:$B$1004,A21,Transacciones!$D$5:$D$1004,"VENTA"))</f>
        <v/>
      </c>
      <c r="J21" s="18" t="str">
        <f t="shared" si="1"/>
        <v/>
      </c>
      <c r="K21" s="18">
        <f t="shared" si="2"/>
        <v>0</v>
      </c>
      <c r="L21" s="7" t="str">
        <f>IF(A21="","",IFERROR(LOOKUP(2,1/(Precios!$B$5:$B$2004=A21),Precios!$A$5:$A$2004),""))</f>
        <v/>
      </c>
      <c r="M21" s="13" t="str">
        <f>IF(A21="","",IFERROR(LOOKUP(2,1/(Precios!$B$5:$B$2004=A21),Precios!$C$5:$C$2004),0))</f>
        <v/>
      </c>
      <c r="N21" s="18" t="str">
        <f t="shared" si="3"/>
        <v/>
      </c>
      <c r="O21" s="18" t="str">
        <f t="shared" si="4"/>
        <v/>
      </c>
      <c r="P21" s="18" t="str">
        <f t="shared" si="5"/>
        <v/>
      </c>
      <c r="Q21" s="18" t="str">
        <f t="shared" si="6"/>
        <v/>
      </c>
      <c r="R21" s="29">
        <f t="shared" si="7"/>
        <v>0</v>
      </c>
      <c r="S21" s="29">
        <f t="shared" si="8"/>
        <v>0</v>
      </c>
      <c r="T21" s="30" t="str">
        <f>IF(A21="","",Activos!E21)</f>
        <v/>
      </c>
      <c r="U21" s="29" t="str">
        <f t="shared" si="9"/>
        <v/>
      </c>
    </row>
    <row r="22" spans="1:21" x14ac:dyDescent="0.3">
      <c r="A22" s="10" t="str">
        <f>IF(Activos!A22="","",Activos!A22)</f>
        <v/>
      </c>
      <c r="B22" s="10" t="str">
        <f>IF(A22="","",Activos!C22)</f>
        <v/>
      </c>
      <c r="C22" s="28" t="str">
        <f>IF(A22="","",SUMIFS(Transacciones!$E$5:$E$1004,Transacciones!$B$5:$B$1004,A22,Transacciones!$D$5:$D$1004,"COMPRA"))</f>
        <v/>
      </c>
      <c r="D22" s="28" t="str">
        <f>IF(A22="","",SUMIFS(Transacciones!$E$5:$E$1004,Transacciones!$B$5:$B$1004,A22,Transacciones!$D$5:$D$1004,"VENTA"))</f>
        <v/>
      </c>
      <c r="E22" s="28" t="str">
        <f>IF(A22="","",SUMIF(Referidos!$C$5:$C$204,A22,Referidos!$D$5:$D$204))</f>
        <v/>
      </c>
      <c r="F22" s="28" t="str">
        <f t="shared" si="0"/>
        <v/>
      </c>
      <c r="G22" s="18" t="str">
        <f>IF(A22="","",SUMIFS(Transacciones!$G$5:$G$1004,Transacciones!$B$5:$B$1004,A22,Transacciones!$D$5:$D$1004,"COMPRA"))</f>
        <v/>
      </c>
      <c r="H22" s="18" t="str">
        <f>IF(A22="","",SUMIFS(Transacciones!$H$5:$H$1004,Transacciones!$B$5:$B$1004,A22,Transacciones!$D$5:$D$1004,"COMPRA"))</f>
        <v/>
      </c>
      <c r="I22" s="18" t="str">
        <f>IF(A22="","",SUMIFS(Transacciones!$I$5:$I$1004,Transacciones!$B$5:$B$1004,A22,Transacciones!$D$5:$D$1004,"VENTA"))</f>
        <v/>
      </c>
      <c r="J22" s="18" t="str">
        <f t="shared" si="1"/>
        <v/>
      </c>
      <c r="K22" s="18">
        <f t="shared" si="2"/>
        <v>0</v>
      </c>
      <c r="L22" s="7" t="str">
        <f>IF(A22="","",IFERROR(LOOKUP(2,1/(Precios!$B$5:$B$2004=A22),Precios!$A$5:$A$2004),""))</f>
        <v/>
      </c>
      <c r="M22" s="13" t="str">
        <f>IF(A22="","",IFERROR(LOOKUP(2,1/(Precios!$B$5:$B$2004=A22),Precios!$C$5:$C$2004),0))</f>
        <v/>
      </c>
      <c r="N22" s="18" t="str">
        <f t="shared" si="3"/>
        <v/>
      </c>
      <c r="O22" s="18" t="str">
        <f t="shared" si="4"/>
        <v/>
      </c>
      <c r="P22" s="18" t="str">
        <f t="shared" si="5"/>
        <v/>
      </c>
      <c r="Q22" s="18" t="str">
        <f t="shared" si="6"/>
        <v/>
      </c>
      <c r="R22" s="29">
        <f t="shared" si="7"/>
        <v>0</v>
      </c>
      <c r="S22" s="29">
        <f t="shared" si="8"/>
        <v>0</v>
      </c>
      <c r="T22" s="30" t="str">
        <f>IF(A22="","",Activos!E22)</f>
        <v/>
      </c>
      <c r="U22" s="29" t="str">
        <f t="shared" si="9"/>
        <v/>
      </c>
    </row>
    <row r="23" spans="1:21" x14ac:dyDescent="0.3">
      <c r="A23" s="10" t="str">
        <f>IF(Activos!A23="","",Activos!A23)</f>
        <v/>
      </c>
      <c r="B23" s="10" t="str">
        <f>IF(A23="","",Activos!C23)</f>
        <v/>
      </c>
      <c r="C23" s="28" t="str">
        <f>IF(A23="","",SUMIFS(Transacciones!$E$5:$E$1004,Transacciones!$B$5:$B$1004,A23,Transacciones!$D$5:$D$1004,"COMPRA"))</f>
        <v/>
      </c>
      <c r="D23" s="28" t="str">
        <f>IF(A23="","",SUMIFS(Transacciones!$E$5:$E$1004,Transacciones!$B$5:$B$1004,A23,Transacciones!$D$5:$D$1004,"VENTA"))</f>
        <v/>
      </c>
      <c r="E23" s="28" t="str">
        <f>IF(A23="","",SUMIF(Referidos!$C$5:$C$204,A23,Referidos!$D$5:$D$204))</f>
        <v/>
      </c>
      <c r="F23" s="28" t="str">
        <f t="shared" si="0"/>
        <v/>
      </c>
      <c r="G23" s="18" t="str">
        <f>IF(A23="","",SUMIFS(Transacciones!$G$5:$G$1004,Transacciones!$B$5:$B$1004,A23,Transacciones!$D$5:$D$1004,"COMPRA"))</f>
        <v/>
      </c>
      <c r="H23" s="18" t="str">
        <f>IF(A23="","",SUMIFS(Transacciones!$H$5:$H$1004,Transacciones!$B$5:$B$1004,A23,Transacciones!$D$5:$D$1004,"COMPRA"))</f>
        <v/>
      </c>
      <c r="I23" s="18" t="str">
        <f>IF(A23="","",SUMIFS(Transacciones!$I$5:$I$1004,Transacciones!$B$5:$B$1004,A23,Transacciones!$D$5:$D$1004,"VENTA"))</f>
        <v/>
      </c>
      <c r="J23" s="18" t="str">
        <f t="shared" si="1"/>
        <v/>
      </c>
      <c r="K23" s="18">
        <f t="shared" si="2"/>
        <v>0</v>
      </c>
      <c r="L23" s="7" t="str">
        <f>IF(A23="","",IFERROR(LOOKUP(2,1/(Precios!$B$5:$B$2004=A23),Precios!$A$5:$A$2004),""))</f>
        <v/>
      </c>
      <c r="M23" s="13" t="str">
        <f>IF(A23="","",IFERROR(LOOKUP(2,1/(Precios!$B$5:$B$2004=A23),Precios!$C$5:$C$2004),0))</f>
        <v/>
      </c>
      <c r="N23" s="18" t="str">
        <f t="shared" si="3"/>
        <v/>
      </c>
      <c r="O23" s="18" t="str">
        <f t="shared" si="4"/>
        <v/>
      </c>
      <c r="P23" s="18" t="str">
        <f t="shared" si="5"/>
        <v/>
      </c>
      <c r="Q23" s="18" t="str">
        <f t="shared" si="6"/>
        <v/>
      </c>
      <c r="R23" s="29">
        <f t="shared" si="7"/>
        <v>0</v>
      </c>
      <c r="S23" s="29">
        <f t="shared" si="8"/>
        <v>0</v>
      </c>
      <c r="T23" s="30" t="str">
        <f>IF(A23="","",Activos!E23)</f>
        <v/>
      </c>
      <c r="U23" s="29" t="str">
        <f t="shared" si="9"/>
        <v/>
      </c>
    </row>
    <row r="24" spans="1:21" x14ac:dyDescent="0.3">
      <c r="A24" s="10" t="str">
        <f>IF(Activos!A24="","",Activos!A24)</f>
        <v/>
      </c>
      <c r="B24" s="10" t="str">
        <f>IF(A24="","",Activos!C24)</f>
        <v/>
      </c>
      <c r="C24" s="28" t="str">
        <f>IF(A24="","",SUMIFS(Transacciones!$E$5:$E$1004,Transacciones!$B$5:$B$1004,A24,Transacciones!$D$5:$D$1004,"COMPRA"))</f>
        <v/>
      </c>
      <c r="D24" s="28" t="str">
        <f>IF(A24="","",SUMIFS(Transacciones!$E$5:$E$1004,Transacciones!$B$5:$B$1004,A24,Transacciones!$D$5:$D$1004,"VENTA"))</f>
        <v/>
      </c>
      <c r="E24" s="28" t="str">
        <f>IF(A24="","",SUMIF(Referidos!$C$5:$C$204,A24,Referidos!$D$5:$D$204))</f>
        <v/>
      </c>
      <c r="F24" s="28" t="str">
        <f t="shared" si="0"/>
        <v/>
      </c>
      <c r="G24" s="18" t="str">
        <f>IF(A24="","",SUMIFS(Transacciones!$G$5:$G$1004,Transacciones!$B$5:$B$1004,A24,Transacciones!$D$5:$D$1004,"COMPRA"))</f>
        <v/>
      </c>
      <c r="H24" s="18" t="str">
        <f>IF(A24="","",SUMIFS(Transacciones!$H$5:$H$1004,Transacciones!$B$5:$B$1004,A24,Transacciones!$D$5:$D$1004,"COMPRA"))</f>
        <v/>
      </c>
      <c r="I24" s="18" t="str">
        <f>IF(A24="","",SUMIFS(Transacciones!$I$5:$I$1004,Transacciones!$B$5:$B$1004,A24,Transacciones!$D$5:$D$1004,"VENTA"))</f>
        <v/>
      </c>
      <c r="J24" s="18" t="str">
        <f t="shared" si="1"/>
        <v/>
      </c>
      <c r="K24" s="18">
        <f t="shared" si="2"/>
        <v>0</v>
      </c>
      <c r="L24" s="7" t="str">
        <f>IF(A24="","",IFERROR(LOOKUP(2,1/(Precios!$B$5:$B$2004=A24),Precios!$A$5:$A$2004),""))</f>
        <v/>
      </c>
      <c r="M24" s="13" t="str">
        <f>IF(A24="","",IFERROR(LOOKUP(2,1/(Precios!$B$5:$B$2004=A24),Precios!$C$5:$C$2004),0))</f>
        <v/>
      </c>
      <c r="N24" s="18" t="str">
        <f t="shared" si="3"/>
        <v/>
      </c>
      <c r="O24" s="18" t="str">
        <f t="shared" si="4"/>
        <v/>
      </c>
      <c r="P24" s="18" t="str">
        <f t="shared" si="5"/>
        <v/>
      </c>
      <c r="Q24" s="18" t="str">
        <f t="shared" si="6"/>
        <v/>
      </c>
      <c r="R24" s="29">
        <f t="shared" si="7"/>
        <v>0</v>
      </c>
      <c r="S24" s="29">
        <f t="shared" si="8"/>
        <v>0</v>
      </c>
      <c r="T24" s="30" t="str">
        <f>IF(A24="","",Activos!E24)</f>
        <v/>
      </c>
      <c r="U24" s="29" t="str">
        <f t="shared" si="9"/>
        <v/>
      </c>
    </row>
    <row r="25" spans="1:21" x14ac:dyDescent="0.3">
      <c r="A25" s="10" t="str">
        <f>IF(Activos!A25="","",Activos!A25)</f>
        <v/>
      </c>
      <c r="B25" s="10" t="str">
        <f>IF(A25="","",Activos!C25)</f>
        <v/>
      </c>
      <c r="C25" s="28" t="str">
        <f>IF(A25="","",SUMIFS(Transacciones!$E$5:$E$1004,Transacciones!$B$5:$B$1004,A25,Transacciones!$D$5:$D$1004,"COMPRA"))</f>
        <v/>
      </c>
      <c r="D25" s="28" t="str">
        <f>IF(A25="","",SUMIFS(Transacciones!$E$5:$E$1004,Transacciones!$B$5:$B$1004,A25,Transacciones!$D$5:$D$1004,"VENTA"))</f>
        <v/>
      </c>
      <c r="E25" s="28" t="str">
        <f>IF(A25="","",SUMIF(Referidos!$C$5:$C$204,A25,Referidos!$D$5:$D$204))</f>
        <v/>
      </c>
      <c r="F25" s="28" t="str">
        <f t="shared" si="0"/>
        <v/>
      </c>
      <c r="G25" s="18" t="str">
        <f>IF(A25="","",SUMIFS(Transacciones!$G$5:$G$1004,Transacciones!$B$5:$B$1004,A25,Transacciones!$D$5:$D$1004,"COMPRA"))</f>
        <v/>
      </c>
      <c r="H25" s="18" t="str">
        <f>IF(A25="","",SUMIFS(Transacciones!$H$5:$H$1004,Transacciones!$B$5:$B$1004,A25,Transacciones!$D$5:$D$1004,"COMPRA"))</f>
        <v/>
      </c>
      <c r="I25" s="18" t="str">
        <f>IF(A25="","",SUMIFS(Transacciones!$I$5:$I$1004,Transacciones!$B$5:$B$1004,A25,Transacciones!$D$5:$D$1004,"VENTA"))</f>
        <v/>
      </c>
      <c r="J25" s="18" t="str">
        <f t="shared" si="1"/>
        <v/>
      </c>
      <c r="K25" s="18">
        <f t="shared" si="2"/>
        <v>0</v>
      </c>
      <c r="L25" s="7" t="str">
        <f>IF(A25="","",IFERROR(LOOKUP(2,1/(Precios!$B$5:$B$2004=A25),Precios!$A$5:$A$2004),""))</f>
        <v/>
      </c>
      <c r="M25" s="13" t="str">
        <f>IF(A25="","",IFERROR(LOOKUP(2,1/(Precios!$B$5:$B$2004=A25),Precios!$C$5:$C$2004),0))</f>
        <v/>
      </c>
      <c r="N25" s="18" t="str">
        <f t="shared" si="3"/>
        <v/>
      </c>
      <c r="O25" s="18" t="str">
        <f t="shared" si="4"/>
        <v/>
      </c>
      <c r="P25" s="18" t="str">
        <f t="shared" si="5"/>
        <v/>
      </c>
      <c r="Q25" s="18" t="str">
        <f t="shared" si="6"/>
        <v/>
      </c>
      <c r="R25" s="29">
        <f t="shared" si="7"/>
        <v>0</v>
      </c>
      <c r="S25" s="29">
        <f t="shared" si="8"/>
        <v>0</v>
      </c>
      <c r="T25" s="30" t="str">
        <f>IF(A25="","",Activos!E25)</f>
        <v/>
      </c>
      <c r="U25" s="29" t="str">
        <f t="shared" si="9"/>
        <v/>
      </c>
    </row>
    <row r="26" spans="1:21" x14ac:dyDescent="0.3">
      <c r="A26" s="10" t="str">
        <f>IF(Activos!A26="","",Activos!A26)</f>
        <v/>
      </c>
      <c r="B26" s="10" t="str">
        <f>IF(A26="","",Activos!C26)</f>
        <v/>
      </c>
      <c r="C26" s="28" t="str">
        <f>IF(A26="","",SUMIFS(Transacciones!$E$5:$E$1004,Transacciones!$B$5:$B$1004,A26,Transacciones!$D$5:$D$1004,"COMPRA"))</f>
        <v/>
      </c>
      <c r="D26" s="28" t="str">
        <f>IF(A26="","",SUMIFS(Transacciones!$E$5:$E$1004,Transacciones!$B$5:$B$1004,A26,Transacciones!$D$5:$D$1004,"VENTA"))</f>
        <v/>
      </c>
      <c r="E26" s="28" t="str">
        <f>IF(A26="","",SUMIF(Referidos!$C$5:$C$204,A26,Referidos!$D$5:$D$204))</f>
        <v/>
      </c>
      <c r="F26" s="28" t="str">
        <f t="shared" si="0"/>
        <v/>
      </c>
      <c r="G26" s="18" t="str">
        <f>IF(A26="","",SUMIFS(Transacciones!$G$5:$G$1004,Transacciones!$B$5:$B$1004,A26,Transacciones!$D$5:$D$1004,"COMPRA"))</f>
        <v/>
      </c>
      <c r="H26" s="18" t="str">
        <f>IF(A26="","",SUMIFS(Transacciones!$H$5:$H$1004,Transacciones!$B$5:$B$1004,A26,Transacciones!$D$5:$D$1004,"COMPRA"))</f>
        <v/>
      </c>
      <c r="I26" s="18" t="str">
        <f>IF(A26="","",SUMIFS(Transacciones!$I$5:$I$1004,Transacciones!$B$5:$B$1004,A26,Transacciones!$D$5:$D$1004,"VENTA"))</f>
        <v/>
      </c>
      <c r="J26" s="18" t="str">
        <f t="shared" si="1"/>
        <v/>
      </c>
      <c r="K26" s="18">
        <f t="shared" si="2"/>
        <v>0</v>
      </c>
      <c r="L26" s="7" t="str">
        <f>IF(A26="","",IFERROR(LOOKUP(2,1/(Precios!$B$5:$B$2004=A26),Precios!$A$5:$A$2004),""))</f>
        <v/>
      </c>
      <c r="M26" s="13" t="str">
        <f>IF(A26="","",IFERROR(LOOKUP(2,1/(Precios!$B$5:$B$2004=A26),Precios!$C$5:$C$2004),0))</f>
        <v/>
      </c>
      <c r="N26" s="18" t="str">
        <f t="shared" si="3"/>
        <v/>
      </c>
      <c r="O26" s="18" t="str">
        <f t="shared" si="4"/>
        <v/>
      </c>
      <c r="P26" s="18" t="str">
        <f t="shared" si="5"/>
        <v/>
      </c>
      <c r="Q26" s="18" t="str">
        <f t="shared" si="6"/>
        <v/>
      </c>
      <c r="R26" s="29">
        <f t="shared" si="7"/>
        <v>0</v>
      </c>
      <c r="S26" s="29">
        <f t="shared" si="8"/>
        <v>0</v>
      </c>
      <c r="T26" s="30" t="str">
        <f>IF(A26="","",Activos!E26)</f>
        <v/>
      </c>
      <c r="U26" s="29" t="str">
        <f t="shared" si="9"/>
        <v/>
      </c>
    </row>
    <row r="27" spans="1:21" x14ac:dyDescent="0.3">
      <c r="A27" s="10" t="str">
        <f>IF(Activos!A27="","",Activos!A27)</f>
        <v/>
      </c>
      <c r="B27" s="10" t="str">
        <f>IF(A27="","",Activos!C27)</f>
        <v/>
      </c>
      <c r="C27" s="28" t="str">
        <f>IF(A27="","",SUMIFS(Transacciones!$E$5:$E$1004,Transacciones!$B$5:$B$1004,A27,Transacciones!$D$5:$D$1004,"COMPRA"))</f>
        <v/>
      </c>
      <c r="D27" s="28" t="str">
        <f>IF(A27="","",SUMIFS(Transacciones!$E$5:$E$1004,Transacciones!$B$5:$B$1004,A27,Transacciones!$D$5:$D$1004,"VENTA"))</f>
        <v/>
      </c>
      <c r="E27" s="28" t="str">
        <f>IF(A27="","",SUMIF(Referidos!$C$5:$C$204,A27,Referidos!$D$5:$D$204))</f>
        <v/>
      </c>
      <c r="F27" s="28" t="str">
        <f t="shared" si="0"/>
        <v/>
      </c>
      <c r="G27" s="18" t="str">
        <f>IF(A27="","",SUMIFS(Transacciones!$G$5:$G$1004,Transacciones!$B$5:$B$1004,A27,Transacciones!$D$5:$D$1004,"COMPRA"))</f>
        <v/>
      </c>
      <c r="H27" s="18" t="str">
        <f>IF(A27="","",SUMIFS(Transacciones!$H$5:$H$1004,Transacciones!$B$5:$B$1004,A27,Transacciones!$D$5:$D$1004,"COMPRA"))</f>
        <v/>
      </c>
      <c r="I27" s="18" t="str">
        <f>IF(A27="","",SUMIFS(Transacciones!$I$5:$I$1004,Transacciones!$B$5:$B$1004,A27,Transacciones!$D$5:$D$1004,"VENTA"))</f>
        <v/>
      </c>
      <c r="J27" s="18" t="str">
        <f t="shared" si="1"/>
        <v/>
      </c>
      <c r="K27" s="18">
        <f t="shared" si="2"/>
        <v>0</v>
      </c>
      <c r="L27" s="7" t="str">
        <f>IF(A27="","",IFERROR(LOOKUP(2,1/(Precios!$B$5:$B$2004=A27),Precios!$A$5:$A$2004),""))</f>
        <v/>
      </c>
      <c r="M27" s="13" t="str">
        <f>IF(A27="","",IFERROR(LOOKUP(2,1/(Precios!$B$5:$B$2004=A27),Precios!$C$5:$C$2004),0))</f>
        <v/>
      </c>
      <c r="N27" s="18" t="str">
        <f t="shared" si="3"/>
        <v/>
      </c>
      <c r="O27" s="18" t="str">
        <f t="shared" si="4"/>
        <v/>
      </c>
      <c r="P27" s="18" t="str">
        <f t="shared" si="5"/>
        <v/>
      </c>
      <c r="Q27" s="18" t="str">
        <f t="shared" si="6"/>
        <v/>
      </c>
      <c r="R27" s="29">
        <f t="shared" si="7"/>
        <v>0</v>
      </c>
      <c r="S27" s="29">
        <f t="shared" si="8"/>
        <v>0</v>
      </c>
      <c r="T27" s="30" t="str">
        <f>IF(A27="","",Activos!E27)</f>
        <v/>
      </c>
      <c r="U27" s="29" t="str">
        <f t="shared" si="9"/>
        <v/>
      </c>
    </row>
    <row r="28" spans="1:21" x14ac:dyDescent="0.3">
      <c r="A28" s="10" t="str">
        <f>IF(Activos!A28="","",Activos!A28)</f>
        <v/>
      </c>
      <c r="B28" s="10" t="str">
        <f>IF(A28="","",Activos!C28)</f>
        <v/>
      </c>
      <c r="C28" s="28" t="str">
        <f>IF(A28="","",SUMIFS(Transacciones!$E$5:$E$1004,Transacciones!$B$5:$B$1004,A28,Transacciones!$D$5:$D$1004,"COMPRA"))</f>
        <v/>
      </c>
      <c r="D28" s="28" t="str">
        <f>IF(A28="","",SUMIFS(Transacciones!$E$5:$E$1004,Transacciones!$B$5:$B$1004,A28,Transacciones!$D$5:$D$1004,"VENTA"))</f>
        <v/>
      </c>
      <c r="E28" s="28" t="str">
        <f>IF(A28="","",SUMIF(Referidos!$C$5:$C$204,A28,Referidos!$D$5:$D$204))</f>
        <v/>
      </c>
      <c r="F28" s="28" t="str">
        <f t="shared" si="0"/>
        <v/>
      </c>
      <c r="G28" s="18" t="str">
        <f>IF(A28="","",SUMIFS(Transacciones!$G$5:$G$1004,Transacciones!$B$5:$B$1004,A28,Transacciones!$D$5:$D$1004,"COMPRA"))</f>
        <v/>
      </c>
      <c r="H28" s="18" t="str">
        <f>IF(A28="","",SUMIFS(Transacciones!$H$5:$H$1004,Transacciones!$B$5:$B$1004,A28,Transacciones!$D$5:$D$1004,"COMPRA"))</f>
        <v/>
      </c>
      <c r="I28" s="18" t="str">
        <f>IF(A28="","",SUMIFS(Transacciones!$I$5:$I$1004,Transacciones!$B$5:$B$1004,A28,Transacciones!$D$5:$D$1004,"VENTA"))</f>
        <v/>
      </c>
      <c r="J28" s="18" t="str">
        <f t="shared" si="1"/>
        <v/>
      </c>
      <c r="K28" s="18">
        <f t="shared" si="2"/>
        <v>0</v>
      </c>
      <c r="L28" s="7" t="str">
        <f>IF(A28="","",IFERROR(LOOKUP(2,1/(Precios!$B$5:$B$2004=A28),Precios!$A$5:$A$2004),""))</f>
        <v/>
      </c>
      <c r="M28" s="13" t="str">
        <f>IF(A28="","",IFERROR(LOOKUP(2,1/(Precios!$B$5:$B$2004=A28),Precios!$C$5:$C$2004),0))</f>
        <v/>
      </c>
      <c r="N28" s="18" t="str">
        <f t="shared" si="3"/>
        <v/>
      </c>
      <c r="O28" s="18" t="str">
        <f t="shared" si="4"/>
        <v/>
      </c>
      <c r="P28" s="18" t="str">
        <f t="shared" si="5"/>
        <v/>
      </c>
      <c r="Q28" s="18" t="str">
        <f t="shared" si="6"/>
        <v/>
      </c>
      <c r="R28" s="29">
        <f t="shared" si="7"/>
        <v>0</v>
      </c>
      <c r="S28" s="29">
        <f t="shared" si="8"/>
        <v>0</v>
      </c>
      <c r="T28" s="30" t="str">
        <f>IF(A28="","",Activos!E28)</f>
        <v/>
      </c>
      <c r="U28" s="29" t="str">
        <f t="shared" si="9"/>
        <v/>
      </c>
    </row>
    <row r="29" spans="1:21" x14ac:dyDescent="0.3">
      <c r="A29" s="10" t="str">
        <f>IF(Activos!A29="","",Activos!A29)</f>
        <v/>
      </c>
      <c r="B29" s="10" t="str">
        <f>IF(A29="","",Activos!C29)</f>
        <v/>
      </c>
      <c r="C29" s="28" t="str">
        <f>IF(A29="","",SUMIFS(Transacciones!$E$5:$E$1004,Transacciones!$B$5:$B$1004,A29,Transacciones!$D$5:$D$1004,"COMPRA"))</f>
        <v/>
      </c>
      <c r="D29" s="28" t="str">
        <f>IF(A29="","",SUMIFS(Transacciones!$E$5:$E$1004,Transacciones!$B$5:$B$1004,A29,Transacciones!$D$5:$D$1004,"VENTA"))</f>
        <v/>
      </c>
      <c r="E29" s="28" t="str">
        <f>IF(A29="","",SUMIF(Referidos!$C$5:$C$204,A29,Referidos!$D$5:$D$204))</f>
        <v/>
      </c>
      <c r="F29" s="28" t="str">
        <f t="shared" si="0"/>
        <v/>
      </c>
      <c r="G29" s="18" t="str">
        <f>IF(A29="","",SUMIFS(Transacciones!$G$5:$G$1004,Transacciones!$B$5:$B$1004,A29,Transacciones!$D$5:$D$1004,"COMPRA"))</f>
        <v/>
      </c>
      <c r="H29" s="18" t="str">
        <f>IF(A29="","",SUMIFS(Transacciones!$H$5:$H$1004,Transacciones!$B$5:$B$1004,A29,Transacciones!$D$5:$D$1004,"COMPRA"))</f>
        <v/>
      </c>
      <c r="I29" s="18" t="str">
        <f>IF(A29="","",SUMIFS(Transacciones!$I$5:$I$1004,Transacciones!$B$5:$B$1004,A29,Transacciones!$D$5:$D$1004,"VENTA"))</f>
        <v/>
      </c>
      <c r="J29" s="18" t="str">
        <f t="shared" si="1"/>
        <v/>
      </c>
      <c r="K29" s="18">
        <f t="shared" si="2"/>
        <v>0</v>
      </c>
      <c r="L29" s="7" t="str">
        <f>IF(A29="","",IFERROR(LOOKUP(2,1/(Precios!$B$5:$B$2004=A29),Precios!$A$5:$A$2004),""))</f>
        <v/>
      </c>
      <c r="M29" s="13" t="str">
        <f>IF(A29="","",IFERROR(LOOKUP(2,1/(Precios!$B$5:$B$2004=A29),Precios!$C$5:$C$2004),0))</f>
        <v/>
      </c>
      <c r="N29" s="18" t="str">
        <f t="shared" si="3"/>
        <v/>
      </c>
      <c r="O29" s="18" t="str">
        <f t="shared" si="4"/>
        <v/>
      </c>
      <c r="P29" s="18" t="str">
        <f t="shared" si="5"/>
        <v/>
      </c>
      <c r="Q29" s="18" t="str">
        <f t="shared" si="6"/>
        <v/>
      </c>
      <c r="R29" s="29">
        <f t="shared" si="7"/>
        <v>0</v>
      </c>
      <c r="S29" s="29">
        <f t="shared" si="8"/>
        <v>0</v>
      </c>
      <c r="T29" s="30" t="str">
        <f>IF(A29="","",Activos!E29)</f>
        <v/>
      </c>
      <c r="U29" s="29" t="str">
        <f t="shared" si="9"/>
        <v/>
      </c>
    </row>
    <row r="30" spans="1:21" x14ac:dyDescent="0.3">
      <c r="A30" s="10" t="str">
        <f>IF(Activos!A30="","",Activos!A30)</f>
        <v/>
      </c>
      <c r="B30" s="10" t="str">
        <f>IF(A30="","",Activos!C30)</f>
        <v/>
      </c>
      <c r="C30" s="28" t="str">
        <f>IF(A30="","",SUMIFS(Transacciones!$E$5:$E$1004,Transacciones!$B$5:$B$1004,A30,Transacciones!$D$5:$D$1004,"COMPRA"))</f>
        <v/>
      </c>
      <c r="D30" s="28" t="str">
        <f>IF(A30="","",SUMIFS(Transacciones!$E$5:$E$1004,Transacciones!$B$5:$B$1004,A30,Transacciones!$D$5:$D$1004,"VENTA"))</f>
        <v/>
      </c>
      <c r="E30" s="28" t="str">
        <f>IF(A30="","",SUMIF(Referidos!$C$5:$C$204,A30,Referidos!$D$5:$D$204))</f>
        <v/>
      </c>
      <c r="F30" s="28" t="str">
        <f t="shared" si="0"/>
        <v/>
      </c>
      <c r="G30" s="18" t="str">
        <f>IF(A30="","",SUMIFS(Transacciones!$G$5:$G$1004,Transacciones!$B$5:$B$1004,A30,Transacciones!$D$5:$D$1004,"COMPRA"))</f>
        <v/>
      </c>
      <c r="H30" s="18" t="str">
        <f>IF(A30="","",SUMIFS(Transacciones!$H$5:$H$1004,Transacciones!$B$5:$B$1004,A30,Transacciones!$D$5:$D$1004,"COMPRA"))</f>
        <v/>
      </c>
      <c r="I30" s="18" t="str">
        <f>IF(A30="","",SUMIFS(Transacciones!$I$5:$I$1004,Transacciones!$B$5:$B$1004,A30,Transacciones!$D$5:$D$1004,"VENTA"))</f>
        <v/>
      </c>
      <c r="J30" s="18" t="str">
        <f t="shared" si="1"/>
        <v/>
      </c>
      <c r="K30" s="18">
        <f t="shared" si="2"/>
        <v>0</v>
      </c>
      <c r="L30" s="7" t="str">
        <f>IF(A30="","",IFERROR(LOOKUP(2,1/(Precios!$B$5:$B$2004=A30),Precios!$A$5:$A$2004),""))</f>
        <v/>
      </c>
      <c r="M30" s="13" t="str">
        <f>IF(A30="","",IFERROR(LOOKUP(2,1/(Precios!$B$5:$B$2004=A30),Precios!$C$5:$C$2004),0))</f>
        <v/>
      </c>
      <c r="N30" s="18" t="str">
        <f t="shared" si="3"/>
        <v/>
      </c>
      <c r="O30" s="18" t="str">
        <f t="shared" si="4"/>
        <v/>
      </c>
      <c r="P30" s="18" t="str">
        <f t="shared" si="5"/>
        <v/>
      </c>
      <c r="Q30" s="18" t="str">
        <f t="shared" si="6"/>
        <v/>
      </c>
      <c r="R30" s="29">
        <f t="shared" si="7"/>
        <v>0</v>
      </c>
      <c r="S30" s="29">
        <f t="shared" si="8"/>
        <v>0</v>
      </c>
      <c r="T30" s="30" t="str">
        <f>IF(A30="","",Activos!E30)</f>
        <v/>
      </c>
      <c r="U30" s="29" t="str">
        <f t="shared" si="9"/>
        <v/>
      </c>
    </row>
    <row r="31" spans="1:21" x14ac:dyDescent="0.3">
      <c r="A31" s="10" t="str">
        <f>IF(Activos!A31="","",Activos!A31)</f>
        <v/>
      </c>
      <c r="B31" s="10" t="str">
        <f>IF(A31="","",Activos!C31)</f>
        <v/>
      </c>
      <c r="C31" s="28" t="str">
        <f>IF(A31="","",SUMIFS(Transacciones!$E$5:$E$1004,Transacciones!$B$5:$B$1004,A31,Transacciones!$D$5:$D$1004,"COMPRA"))</f>
        <v/>
      </c>
      <c r="D31" s="28" t="str">
        <f>IF(A31="","",SUMIFS(Transacciones!$E$5:$E$1004,Transacciones!$B$5:$B$1004,A31,Transacciones!$D$5:$D$1004,"VENTA"))</f>
        <v/>
      </c>
      <c r="E31" s="28" t="str">
        <f>IF(A31="","",SUMIF(Referidos!$C$5:$C$204,A31,Referidos!$D$5:$D$204))</f>
        <v/>
      </c>
      <c r="F31" s="28" t="str">
        <f t="shared" si="0"/>
        <v/>
      </c>
      <c r="G31" s="18" t="str">
        <f>IF(A31="","",SUMIFS(Transacciones!$G$5:$G$1004,Transacciones!$B$5:$B$1004,A31,Transacciones!$D$5:$D$1004,"COMPRA"))</f>
        <v/>
      </c>
      <c r="H31" s="18" t="str">
        <f>IF(A31="","",SUMIFS(Transacciones!$H$5:$H$1004,Transacciones!$B$5:$B$1004,A31,Transacciones!$D$5:$D$1004,"COMPRA"))</f>
        <v/>
      </c>
      <c r="I31" s="18" t="str">
        <f>IF(A31="","",SUMIFS(Transacciones!$I$5:$I$1004,Transacciones!$B$5:$B$1004,A31,Transacciones!$D$5:$D$1004,"VENTA"))</f>
        <v/>
      </c>
      <c r="J31" s="18" t="str">
        <f t="shared" si="1"/>
        <v/>
      </c>
      <c r="K31" s="18">
        <f t="shared" si="2"/>
        <v>0</v>
      </c>
      <c r="L31" s="7" t="str">
        <f>IF(A31="","",IFERROR(LOOKUP(2,1/(Precios!$B$5:$B$2004=A31),Precios!$A$5:$A$2004),""))</f>
        <v/>
      </c>
      <c r="M31" s="13" t="str">
        <f>IF(A31="","",IFERROR(LOOKUP(2,1/(Precios!$B$5:$B$2004=A31),Precios!$C$5:$C$2004),0))</f>
        <v/>
      </c>
      <c r="N31" s="18" t="str">
        <f t="shared" si="3"/>
        <v/>
      </c>
      <c r="O31" s="18" t="str">
        <f t="shared" si="4"/>
        <v/>
      </c>
      <c r="P31" s="18" t="str">
        <f t="shared" si="5"/>
        <v/>
      </c>
      <c r="Q31" s="18" t="str">
        <f t="shared" si="6"/>
        <v/>
      </c>
      <c r="R31" s="29">
        <f t="shared" si="7"/>
        <v>0</v>
      </c>
      <c r="S31" s="29">
        <f t="shared" si="8"/>
        <v>0</v>
      </c>
      <c r="T31" s="30" t="str">
        <f>IF(A31="","",Activos!E31)</f>
        <v/>
      </c>
      <c r="U31" s="29" t="str">
        <f t="shared" si="9"/>
        <v/>
      </c>
    </row>
    <row r="32" spans="1:21" x14ac:dyDescent="0.3">
      <c r="A32" s="10" t="str">
        <f>IF(Activos!A32="","",Activos!A32)</f>
        <v/>
      </c>
      <c r="B32" s="10" t="str">
        <f>IF(A32="","",Activos!C32)</f>
        <v/>
      </c>
      <c r="C32" s="28" t="str">
        <f>IF(A32="","",SUMIFS(Transacciones!$E$5:$E$1004,Transacciones!$B$5:$B$1004,A32,Transacciones!$D$5:$D$1004,"COMPRA"))</f>
        <v/>
      </c>
      <c r="D32" s="28" t="str">
        <f>IF(A32="","",SUMIFS(Transacciones!$E$5:$E$1004,Transacciones!$B$5:$B$1004,A32,Transacciones!$D$5:$D$1004,"VENTA"))</f>
        <v/>
      </c>
      <c r="E32" s="28" t="str">
        <f>IF(A32="","",SUMIF(Referidos!$C$5:$C$204,A32,Referidos!$D$5:$D$204))</f>
        <v/>
      </c>
      <c r="F32" s="28" t="str">
        <f t="shared" si="0"/>
        <v/>
      </c>
      <c r="G32" s="18" t="str">
        <f>IF(A32="","",SUMIFS(Transacciones!$G$5:$G$1004,Transacciones!$B$5:$B$1004,A32,Transacciones!$D$5:$D$1004,"COMPRA"))</f>
        <v/>
      </c>
      <c r="H32" s="18" t="str">
        <f>IF(A32="","",SUMIFS(Transacciones!$H$5:$H$1004,Transacciones!$B$5:$B$1004,A32,Transacciones!$D$5:$D$1004,"COMPRA"))</f>
        <v/>
      </c>
      <c r="I32" s="18" t="str">
        <f>IF(A32="","",SUMIFS(Transacciones!$I$5:$I$1004,Transacciones!$B$5:$B$1004,A32,Transacciones!$D$5:$D$1004,"VENTA"))</f>
        <v/>
      </c>
      <c r="J32" s="18" t="str">
        <f t="shared" si="1"/>
        <v/>
      </c>
      <c r="K32" s="18">
        <f t="shared" si="2"/>
        <v>0</v>
      </c>
      <c r="L32" s="7" t="str">
        <f>IF(A32="","",IFERROR(LOOKUP(2,1/(Precios!$B$5:$B$2004=A32),Precios!$A$5:$A$2004),""))</f>
        <v/>
      </c>
      <c r="M32" s="13" t="str">
        <f>IF(A32="","",IFERROR(LOOKUP(2,1/(Precios!$B$5:$B$2004=A32),Precios!$C$5:$C$2004),0))</f>
        <v/>
      </c>
      <c r="N32" s="18" t="str">
        <f t="shared" si="3"/>
        <v/>
      </c>
      <c r="O32" s="18" t="str">
        <f t="shared" si="4"/>
        <v/>
      </c>
      <c r="P32" s="18" t="str">
        <f t="shared" si="5"/>
        <v/>
      </c>
      <c r="Q32" s="18" t="str">
        <f t="shared" si="6"/>
        <v/>
      </c>
      <c r="R32" s="29">
        <f t="shared" si="7"/>
        <v>0</v>
      </c>
      <c r="S32" s="29">
        <f t="shared" si="8"/>
        <v>0</v>
      </c>
      <c r="T32" s="30" t="str">
        <f>IF(A32="","",Activos!E32)</f>
        <v/>
      </c>
      <c r="U32" s="29" t="str">
        <f t="shared" si="9"/>
        <v/>
      </c>
    </row>
    <row r="33" spans="1:21" x14ac:dyDescent="0.3">
      <c r="A33" s="10" t="str">
        <f>IF(Activos!A33="","",Activos!A33)</f>
        <v/>
      </c>
      <c r="B33" s="10" t="str">
        <f>IF(A33="","",Activos!C33)</f>
        <v/>
      </c>
      <c r="C33" s="28" t="str">
        <f>IF(A33="","",SUMIFS(Transacciones!$E$5:$E$1004,Transacciones!$B$5:$B$1004,A33,Transacciones!$D$5:$D$1004,"COMPRA"))</f>
        <v/>
      </c>
      <c r="D33" s="28" t="str">
        <f>IF(A33="","",SUMIFS(Transacciones!$E$5:$E$1004,Transacciones!$B$5:$B$1004,A33,Transacciones!$D$5:$D$1004,"VENTA"))</f>
        <v/>
      </c>
      <c r="E33" s="28" t="str">
        <f>IF(A33="","",SUMIF(Referidos!$C$5:$C$204,A33,Referidos!$D$5:$D$204))</f>
        <v/>
      </c>
      <c r="F33" s="28" t="str">
        <f t="shared" si="0"/>
        <v/>
      </c>
      <c r="G33" s="18" t="str">
        <f>IF(A33="","",SUMIFS(Transacciones!$G$5:$G$1004,Transacciones!$B$5:$B$1004,A33,Transacciones!$D$5:$D$1004,"COMPRA"))</f>
        <v/>
      </c>
      <c r="H33" s="18" t="str">
        <f>IF(A33="","",SUMIFS(Transacciones!$H$5:$H$1004,Transacciones!$B$5:$B$1004,A33,Transacciones!$D$5:$D$1004,"COMPRA"))</f>
        <v/>
      </c>
      <c r="I33" s="18" t="str">
        <f>IF(A33="","",SUMIFS(Transacciones!$I$5:$I$1004,Transacciones!$B$5:$B$1004,A33,Transacciones!$D$5:$D$1004,"VENTA"))</f>
        <v/>
      </c>
      <c r="J33" s="18" t="str">
        <f t="shared" si="1"/>
        <v/>
      </c>
      <c r="K33" s="18">
        <f t="shared" si="2"/>
        <v>0</v>
      </c>
      <c r="L33" s="7" t="str">
        <f>IF(A33="","",IFERROR(LOOKUP(2,1/(Precios!$B$5:$B$2004=A33),Precios!$A$5:$A$2004),""))</f>
        <v/>
      </c>
      <c r="M33" s="13" t="str">
        <f>IF(A33="","",IFERROR(LOOKUP(2,1/(Precios!$B$5:$B$2004=A33),Precios!$C$5:$C$2004),0))</f>
        <v/>
      </c>
      <c r="N33" s="18" t="str">
        <f t="shared" si="3"/>
        <v/>
      </c>
      <c r="O33" s="18" t="str">
        <f t="shared" si="4"/>
        <v/>
      </c>
      <c r="P33" s="18" t="str">
        <f t="shared" si="5"/>
        <v/>
      </c>
      <c r="Q33" s="18" t="str">
        <f t="shared" si="6"/>
        <v/>
      </c>
      <c r="R33" s="29">
        <f t="shared" si="7"/>
        <v>0</v>
      </c>
      <c r="S33" s="29">
        <f t="shared" si="8"/>
        <v>0</v>
      </c>
      <c r="T33" s="30" t="str">
        <f>IF(A33="","",Activos!E33)</f>
        <v/>
      </c>
      <c r="U33" s="29" t="str">
        <f t="shared" si="9"/>
        <v/>
      </c>
    </row>
    <row r="34" spans="1:21" x14ac:dyDescent="0.3">
      <c r="A34" s="10" t="str">
        <f>IF(Activos!A34="","",Activos!A34)</f>
        <v/>
      </c>
      <c r="B34" s="10" t="str">
        <f>IF(A34="","",Activos!C34)</f>
        <v/>
      </c>
      <c r="C34" s="28" t="str">
        <f>IF(A34="","",SUMIFS(Transacciones!$E$5:$E$1004,Transacciones!$B$5:$B$1004,A34,Transacciones!$D$5:$D$1004,"COMPRA"))</f>
        <v/>
      </c>
      <c r="D34" s="28" t="str">
        <f>IF(A34="","",SUMIFS(Transacciones!$E$5:$E$1004,Transacciones!$B$5:$B$1004,A34,Transacciones!$D$5:$D$1004,"VENTA"))</f>
        <v/>
      </c>
      <c r="E34" s="28" t="str">
        <f>IF(A34="","",SUMIF(Referidos!$C$5:$C$204,A34,Referidos!$D$5:$D$204))</f>
        <v/>
      </c>
      <c r="F34" s="28" t="str">
        <f t="shared" si="0"/>
        <v/>
      </c>
      <c r="G34" s="18" t="str">
        <f>IF(A34="","",SUMIFS(Transacciones!$G$5:$G$1004,Transacciones!$B$5:$B$1004,A34,Transacciones!$D$5:$D$1004,"COMPRA"))</f>
        <v/>
      </c>
      <c r="H34" s="18" t="str">
        <f>IF(A34="","",SUMIFS(Transacciones!$H$5:$H$1004,Transacciones!$B$5:$B$1004,A34,Transacciones!$D$5:$D$1004,"COMPRA"))</f>
        <v/>
      </c>
      <c r="I34" s="18" t="str">
        <f>IF(A34="","",SUMIFS(Transacciones!$I$5:$I$1004,Transacciones!$B$5:$B$1004,A34,Transacciones!$D$5:$D$1004,"VENTA"))</f>
        <v/>
      </c>
      <c r="J34" s="18" t="str">
        <f t="shared" si="1"/>
        <v/>
      </c>
      <c r="K34" s="18">
        <f t="shared" si="2"/>
        <v>0</v>
      </c>
      <c r="L34" s="7" t="str">
        <f>IF(A34="","",IFERROR(LOOKUP(2,1/(Precios!$B$5:$B$2004=A34),Precios!$A$5:$A$2004),""))</f>
        <v/>
      </c>
      <c r="M34" s="13" t="str">
        <f>IF(A34="","",IFERROR(LOOKUP(2,1/(Precios!$B$5:$B$2004=A34),Precios!$C$5:$C$2004),0))</f>
        <v/>
      </c>
      <c r="N34" s="18" t="str">
        <f t="shared" si="3"/>
        <v/>
      </c>
      <c r="O34" s="18" t="str">
        <f t="shared" si="4"/>
        <v/>
      </c>
      <c r="P34" s="18" t="str">
        <f t="shared" si="5"/>
        <v/>
      </c>
      <c r="Q34" s="18" t="str">
        <f t="shared" si="6"/>
        <v/>
      </c>
      <c r="R34" s="29">
        <f t="shared" si="7"/>
        <v>0</v>
      </c>
      <c r="S34" s="29">
        <f t="shared" si="8"/>
        <v>0</v>
      </c>
      <c r="T34" s="30" t="str">
        <f>IF(A34="","",Activos!E34)</f>
        <v/>
      </c>
      <c r="U34" s="29" t="str">
        <f t="shared" si="9"/>
        <v/>
      </c>
    </row>
    <row r="35" spans="1:21" x14ac:dyDescent="0.3">
      <c r="A35" s="10" t="str">
        <f>IF(Activos!A35="","",Activos!A35)</f>
        <v/>
      </c>
      <c r="B35" s="10" t="str">
        <f>IF(A35="","",Activos!C35)</f>
        <v/>
      </c>
      <c r="C35" s="28" t="str">
        <f>IF(A35="","",SUMIFS(Transacciones!$E$5:$E$1004,Transacciones!$B$5:$B$1004,A35,Transacciones!$D$5:$D$1004,"COMPRA"))</f>
        <v/>
      </c>
      <c r="D35" s="28" t="str">
        <f>IF(A35="","",SUMIFS(Transacciones!$E$5:$E$1004,Transacciones!$B$5:$B$1004,A35,Transacciones!$D$5:$D$1004,"VENTA"))</f>
        <v/>
      </c>
      <c r="E35" s="28" t="str">
        <f>IF(A35="","",SUMIF(Referidos!$C$5:$C$204,A35,Referidos!$D$5:$D$204))</f>
        <v/>
      </c>
      <c r="F35" s="28" t="str">
        <f t="shared" si="0"/>
        <v/>
      </c>
      <c r="G35" s="18" t="str">
        <f>IF(A35="","",SUMIFS(Transacciones!$G$5:$G$1004,Transacciones!$B$5:$B$1004,A35,Transacciones!$D$5:$D$1004,"COMPRA"))</f>
        <v/>
      </c>
      <c r="H35" s="18" t="str">
        <f>IF(A35="","",SUMIFS(Transacciones!$H$5:$H$1004,Transacciones!$B$5:$B$1004,A35,Transacciones!$D$5:$D$1004,"COMPRA"))</f>
        <v/>
      </c>
      <c r="I35" s="18" t="str">
        <f>IF(A35="","",SUMIFS(Transacciones!$I$5:$I$1004,Transacciones!$B$5:$B$1004,A35,Transacciones!$D$5:$D$1004,"VENTA"))</f>
        <v/>
      </c>
      <c r="J35" s="18" t="str">
        <f t="shared" si="1"/>
        <v/>
      </c>
      <c r="K35" s="18">
        <f t="shared" si="2"/>
        <v>0</v>
      </c>
      <c r="L35" s="7" t="str">
        <f>IF(A35="","",IFERROR(LOOKUP(2,1/(Precios!$B$5:$B$2004=A35),Precios!$A$5:$A$2004),""))</f>
        <v/>
      </c>
      <c r="M35" s="13" t="str">
        <f>IF(A35="","",IFERROR(LOOKUP(2,1/(Precios!$B$5:$B$2004=A35),Precios!$C$5:$C$2004),0))</f>
        <v/>
      </c>
      <c r="N35" s="18" t="str">
        <f t="shared" si="3"/>
        <v/>
      </c>
      <c r="O35" s="18" t="str">
        <f t="shared" si="4"/>
        <v/>
      </c>
      <c r="P35" s="18" t="str">
        <f t="shared" si="5"/>
        <v/>
      </c>
      <c r="Q35" s="18" t="str">
        <f t="shared" si="6"/>
        <v/>
      </c>
      <c r="R35" s="29">
        <f t="shared" si="7"/>
        <v>0</v>
      </c>
      <c r="S35" s="29">
        <f t="shared" si="8"/>
        <v>0</v>
      </c>
      <c r="T35" s="30" t="str">
        <f>IF(A35="","",Activos!E35)</f>
        <v/>
      </c>
      <c r="U35" s="29" t="str">
        <f t="shared" si="9"/>
        <v/>
      </c>
    </row>
    <row r="36" spans="1:21" x14ac:dyDescent="0.3">
      <c r="A36" s="10" t="str">
        <f>IF(Activos!A36="","",Activos!A36)</f>
        <v/>
      </c>
      <c r="B36" s="10" t="str">
        <f>IF(A36="","",Activos!C36)</f>
        <v/>
      </c>
      <c r="C36" s="28" t="str">
        <f>IF(A36="","",SUMIFS(Transacciones!$E$5:$E$1004,Transacciones!$B$5:$B$1004,A36,Transacciones!$D$5:$D$1004,"COMPRA"))</f>
        <v/>
      </c>
      <c r="D36" s="28" t="str">
        <f>IF(A36="","",SUMIFS(Transacciones!$E$5:$E$1004,Transacciones!$B$5:$B$1004,A36,Transacciones!$D$5:$D$1004,"VENTA"))</f>
        <v/>
      </c>
      <c r="E36" s="28" t="str">
        <f>IF(A36="","",SUMIF(Referidos!$C$5:$C$204,A36,Referidos!$D$5:$D$204))</f>
        <v/>
      </c>
      <c r="F36" s="28" t="str">
        <f t="shared" si="0"/>
        <v/>
      </c>
      <c r="G36" s="18" t="str">
        <f>IF(A36="","",SUMIFS(Transacciones!$G$5:$G$1004,Transacciones!$B$5:$B$1004,A36,Transacciones!$D$5:$D$1004,"COMPRA"))</f>
        <v/>
      </c>
      <c r="H36" s="18" t="str">
        <f>IF(A36="","",SUMIFS(Transacciones!$H$5:$H$1004,Transacciones!$B$5:$B$1004,A36,Transacciones!$D$5:$D$1004,"COMPRA"))</f>
        <v/>
      </c>
      <c r="I36" s="18" t="str">
        <f>IF(A36="","",SUMIFS(Transacciones!$I$5:$I$1004,Transacciones!$B$5:$B$1004,A36,Transacciones!$D$5:$D$1004,"VENTA"))</f>
        <v/>
      </c>
      <c r="J36" s="18" t="str">
        <f t="shared" si="1"/>
        <v/>
      </c>
      <c r="K36" s="18">
        <f t="shared" si="2"/>
        <v>0</v>
      </c>
      <c r="L36" s="7" t="str">
        <f>IF(A36="","",IFERROR(LOOKUP(2,1/(Precios!$B$5:$B$2004=A36),Precios!$A$5:$A$2004),""))</f>
        <v/>
      </c>
      <c r="M36" s="13" t="str">
        <f>IF(A36="","",IFERROR(LOOKUP(2,1/(Precios!$B$5:$B$2004=A36),Precios!$C$5:$C$2004),0))</f>
        <v/>
      </c>
      <c r="N36" s="18" t="str">
        <f t="shared" si="3"/>
        <v/>
      </c>
      <c r="O36" s="18" t="str">
        <f t="shared" si="4"/>
        <v/>
      </c>
      <c r="P36" s="18" t="str">
        <f t="shared" si="5"/>
        <v/>
      </c>
      <c r="Q36" s="18" t="str">
        <f t="shared" si="6"/>
        <v/>
      </c>
      <c r="R36" s="29">
        <f t="shared" si="7"/>
        <v>0</v>
      </c>
      <c r="S36" s="29">
        <f t="shared" si="8"/>
        <v>0</v>
      </c>
      <c r="T36" s="30" t="str">
        <f>IF(A36="","",Activos!E36)</f>
        <v/>
      </c>
      <c r="U36" s="29" t="str">
        <f t="shared" si="9"/>
        <v/>
      </c>
    </row>
    <row r="37" spans="1:21" x14ac:dyDescent="0.3">
      <c r="A37" s="10" t="str">
        <f>IF(Activos!A37="","",Activos!A37)</f>
        <v/>
      </c>
      <c r="B37" s="10" t="str">
        <f>IF(A37="","",Activos!C37)</f>
        <v/>
      </c>
      <c r="C37" s="28" t="str">
        <f>IF(A37="","",SUMIFS(Transacciones!$E$5:$E$1004,Transacciones!$B$5:$B$1004,A37,Transacciones!$D$5:$D$1004,"COMPRA"))</f>
        <v/>
      </c>
      <c r="D37" s="28" t="str">
        <f>IF(A37="","",SUMIFS(Transacciones!$E$5:$E$1004,Transacciones!$B$5:$B$1004,A37,Transacciones!$D$5:$D$1004,"VENTA"))</f>
        <v/>
      </c>
      <c r="E37" s="28" t="str">
        <f>IF(A37="","",SUMIF(Referidos!$C$5:$C$204,A37,Referidos!$D$5:$D$204))</f>
        <v/>
      </c>
      <c r="F37" s="28" t="str">
        <f t="shared" ref="F37:F68" si="10">IF(A37="","",C37-D37+E37)</f>
        <v/>
      </c>
      <c r="G37" s="18" t="str">
        <f>IF(A37="","",SUMIFS(Transacciones!$G$5:$G$1004,Transacciones!$B$5:$B$1004,A37,Transacciones!$D$5:$D$1004,"COMPRA"))</f>
        <v/>
      </c>
      <c r="H37" s="18" t="str">
        <f>IF(A37="","",SUMIFS(Transacciones!$H$5:$H$1004,Transacciones!$B$5:$B$1004,A37,Transacciones!$D$5:$D$1004,"COMPRA"))</f>
        <v/>
      </c>
      <c r="I37" s="18" t="str">
        <f>IF(A37="","",SUMIFS(Transacciones!$I$5:$I$1004,Transacciones!$B$5:$B$1004,A37,Transacciones!$D$5:$D$1004,"VENTA"))</f>
        <v/>
      </c>
      <c r="J37" s="18" t="str">
        <f t="shared" ref="J37:J68" si="11">IF(A37="","",G37+H37)</f>
        <v/>
      </c>
      <c r="K37" s="18">
        <f t="shared" ref="K37:K68" si="12">IFERROR(J37/C37,0)</f>
        <v>0</v>
      </c>
      <c r="L37" s="7" t="str">
        <f>IF(A37="","",IFERROR(LOOKUP(2,1/(Precios!$B$5:$B$2004=A37),Precios!$A$5:$A$2004),""))</f>
        <v/>
      </c>
      <c r="M37" s="13" t="str">
        <f>IF(A37="","",IFERROR(LOOKUP(2,1/(Precios!$B$5:$B$2004=A37),Precios!$C$5:$C$2004),0))</f>
        <v/>
      </c>
      <c r="N37" s="18" t="str">
        <f t="shared" ref="N37:N68" si="13">IF(A37="","",F37*M37)</f>
        <v/>
      </c>
      <c r="O37" s="18" t="str">
        <f t="shared" ref="O37:O68" si="14">IF(A37="","",MAX(C37-D37,0)*K37)</f>
        <v/>
      </c>
      <c r="P37" s="18" t="str">
        <f t="shared" ref="P37:P68" si="15">IF(A37="","",MAX(C37-D37,0)*M37-O37)</f>
        <v/>
      </c>
      <c r="Q37" s="18" t="str">
        <f t="shared" ref="Q37:Q68" si="16">IF(A37="","",N37-O37)</f>
        <v/>
      </c>
      <c r="R37" s="29">
        <f t="shared" ref="R37:R68" si="17">IFERROR(P37/O37,0)</f>
        <v>0</v>
      </c>
      <c r="S37" s="29">
        <f t="shared" ref="S37:S68" si="18">IFERROR(N37/SUM($N$5:$N$104),0)</f>
        <v>0</v>
      </c>
      <c r="T37" s="30" t="str">
        <f>IF(A37="","",Activos!E37)</f>
        <v/>
      </c>
      <c r="U37" s="29" t="str">
        <f t="shared" ref="U37:U68" si="19">IF(A37="","",S37-T37)</f>
        <v/>
      </c>
    </row>
    <row r="38" spans="1:21" x14ac:dyDescent="0.3">
      <c r="A38" s="10" t="str">
        <f>IF(Activos!A38="","",Activos!A38)</f>
        <v/>
      </c>
      <c r="B38" s="10" t="str">
        <f>IF(A38="","",Activos!C38)</f>
        <v/>
      </c>
      <c r="C38" s="28" t="str">
        <f>IF(A38="","",SUMIFS(Transacciones!$E$5:$E$1004,Transacciones!$B$5:$B$1004,A38,Transacciones!$D$5:$D$1004,"COMPRA"))</f>
        <v/>
      </c>
      <c r="D38" s="28" t="str">
        <f>IF(A38="","",SUMIFS(Transacciones!$E$5:$E$1004,Transacciones!$B$5:$B$1004,A38,Transacciones!$D$5:$D$1004,"VENTA"))</f>
        <v/>
      </c>
      <c r="E38" s="28" t="str">
        <f>IF(A38="","",SUMIF(Referidos!$C$5:$C$204,A38,Referidos!$D$5:$D$204))</f>
        <v/>
      </c>
      <c r="F38" s="28" t="str">
        <f t="shared" si="10"/>
        <v/>
      </c>
      <c r="G38" s="18" t="str">
        <f>IF(A38="","",SUMIFS(Transacciones!$G$5:$G$1004,Transacciones!$B$5:$B$1004,A38,Transacciones!$D$5:$D$1004,"COMPRA"))</f>
        <v/>
      </c>
      <c r="H38" s="18" t="str">
        <f>IF(A38="","",SUMIFS(Transacciones!$H$5:$H$1004,Transacciones!$B$5:$B$1004,A38,Transacciones!$D$5:$D$1004,"COMPRA"))</f>
        <v/>
      </c>
      <c r="I38" s="18" t="str">
        <f>IF(A38="","",SUMIFS(Transacciones!$I$5:$I$1004,Transacciones!$B$5:$B$1004,A38,Transacciones!$D$5:$D$1004,"VENTA"))</f>
        <v/>
      </c>
      <c r="J38" s="18" t="str">
        <f t="shared" si="11"/>
        <v/>
      </c>
      <c r="K38" s="18">
        <f t="shared" si="12"/>
        <v>0</v>
      </c>
      <c r="L38" s="7" t="str">
        <f>IF(A38="","",IFERROR(LOOKUP(2,1/(Precios!$B$5:$B$2004=A38),Precios!$A$5:$A$2004),""))</f>
        <v/>
      </c>
      <c r="M38" s="13" t="str">
        <f>IF(A38="","",IFERROR(LOOKUP(2,1/(Precios!$B$5:$B$2004=A38),Precios!$C$5:$C$2004),0))</f>
        <v/>
      </c>
      <c r="N38" s="18" t="str">
        <f t="shared" si="13"/>
        <v/>
      </c>
      <c r="O38" s="18" t="str">
        <f t="shared" si="14"/>
        <v/>
      </c>
      <c r="P38" s="18" t="str">
        <f t="shared" si="15"/>
        <v/>
      </c>
      <c r="Q38" s="18" t="str">
        <f t="shared" si="16"/>
        <v/>
      </c>
      <c r="R38" s="29">
        <f t="shared" si="17"/>
        <v>0</v>
      </c>
      <c r="S38" s="29">
        <f t="shared" si="18"/>
        <v>0</v>
      </c>
      <c r="T38" s="30" t="str">
        <f>IF(A38="","",Activos!E38)</f>
        <v/>
      </c>
      <c r="U38" s="29" t="str">
        <f t="shared" si="19"/>
        <v/>
      </c>
    </row>
    <row r="39" spans="1:21" x14ac:dyDescent="0.3">
      <c r="A39" s="10" t="str">
        <f>IF(Activos!A39="","",Activos!A39)</f>
        <v/>
      </c>
      <c r="B39" s="10" t="str">
        <f>IF(A39="","",Activos!C39)</f>
        <v/>
      </c>
      <c r="C39" s="28" t="str">
        <f>IF(A39="","",SUMIFS(Transacciones!$E$5:$E$1004,Transacciones!$B$5:$B$1004,A39,Transacciones!$D$5:$D$1004,"COMPRA"))</f>
        <v/>
      </c>
      <c r="D39" s="28" t="str">
        <f>IF(A39="","",SUMIFS(Transacciones!$E$5:$E$1004,Transacciones!$B$5:$B$1004,A39,Transacciones!$D$5:$D$1004,"VENTA"))</f>
        <v/>
      </c>
      <c r="E39" s="28" t="str">
        <f>IF(A39="","",SUMIF(Referidos!$C$5:$C$204,A39,Referidos!$D$5:$D$204))</f>
        <v/>
      </c>
      <c r="F39" s="28" t="str">
        <f t="shared" si="10"/>
        <v/>
      </c>
      <c r="G39" s="18" t="str">
        <f>IF(A39="","",SUMIFS(Transacciones!$G$5:$G$1004,Transacciones!$B$5:$B$1004,A39,Transacciones!$D$5:$D$1004,"COMPRA"))</f>
        <v/>
      </c>
      <c r="H39" s="18" t="str">
        <f>IF(A39="","",SUMIFS(Transacciones!$H$5:$H$1004,Transacciones!$B$5:$B$1004,A39,Transacciones!$D$5:$D$1004,"COMPRA"))</f>
        <v/>
      </c>
      <c r="I39" s="18" t="str">
        <f>IF(A39="","",SUMIFS(Transacciones!$I$5:$I$1004,Transacciones!$B$5:$B$1004,A39,Transacciones!$D$5:$D$1004,"VENTA"))</f>
        <v/>
      </c>
      <c r="J39" s="18" t="str">
        <f t="shared" si="11"/>
        <v/>
      </c>
      <c r="K39" s="18">
        <f t="shared" si="12"/>
        <v>0</v>
      </c>
      <c r="L39" s="7" t="str">
        <f>IF(A39="","",IFERROR(LOOKUP(2,1/(Precios!$B$5:$B$2004=A39),Precios!$A$5:$A$2004),""))</f>
        <v/>
      </c>
      <c r="M39" s="13" t="str">
        <f>IF(A39="","",IFERROR(LOOKUP(2,1/(Precios!$B$5:$B$2004=A39),Precios!$C$5:$C$2004),0))</f>
        <v/>
      </c>
      <c r="N39" s="18" t="str">
        <f t="shared" si="13"/>
        <v/>
      </c>
      <c r="O39" s="18" t="str">
        <f t="shared" si="14"/>
        <v/>
      </c>
      <c r="P39" s="18" t="str">
        <f t="shared" si="15"/>
        <v/>
      </c>
      <c r="Q39" s="18" t="str">
        <f t="shared" si="16"/>
        <v/>
      </c>
      <c r="R39" s="29">
        <f t="shared" si="17"/>
        <v>0</v>
      </c>
      <c r="S39" s="29">
        <f t="shared" si="18"/>
        <v>0</v>
      </c>
      <c r="T39" s="30" t="str">
        <f>IF(A39="","",Activos!E39)</f>
        <v/>
      </c>
      <c r="U39" s="29" t="str">
        <f t="shared" si="19"/>
        <v/>
      </c>
    </row>
    <row r="40" spans="1:21" x14ac:dyDescent="0.3">
      <c r="A40" s="10" t="str">
        <f>IF(Activos!A40="","",Activos!A40)</f>
        <v/>
      </c>
      <c r="B40" s="10" t="str">
        <f>IF(A40="","",Activos!C40)</f>
        <v/>
      </c>
      <c r="C40" s="28" t="str">
        <f>IF(A40="","",SUMIFS(Transacciones!$E$5:$E$1004,Transacciones!$B$5:$B$1004,A40,Transacciones!$D$5:$D$1004,"COMPRA"))</f>
        <v/>
      </c>
      <c r="D40" s="28" t="str">
        <f>IF(A40="","",SUMIFS(Transacciones!$E$5:$E$1004,Transacciones!$B$5:$B$1004,A40,Transacciones!$D$5:$D$1004,"VENTA"))</f>
        <v/>
      </c>
      <c r="E40" s="28" t="str">
        <f>IF(A40="","",SUMIF(Referidos!$C$5:$C$204,A40,Referidos!$D$5:$D$204))</f>
        <v/>
      </c>
      <c r="F40" s="28" t="str">
        <f t="shared" si="10"/>
        <v/>
      </c>
      <c r="G40" s="18" t="str">
        <f>IF(A40="","",SUMIFS(Transacciones!$G$5:$G$1004,Transacciones!$B$5:$B$1004,A40,Transacciones!$D$5:$D$1004,"COMPRA"))</f>
        <v/>
      </c>
      <c r="H40" s="18" t="str">
        <f>IF(A40="","",SUMIFS(Transacciones!$H$5:$H$1004,Transacciones!$B$5:$B$1004,A40,Transacciones!$D$5:$D$1004,"COMPRA"))</f>
        <v/>
      </c>
      <c r="I40" s="18" t="str">
        <f>IF(A40="","",SUMIFS(Transacciones!$I$5:$I$1004,Transacciones!$B$5:$B$1004,A40,Transacciones!$D$5:$D$1004,"VENTA"))</f>
        <v/>
      </c>
      <c r="J40" s="18" t="str">
        <f t="shared" si="11"/>
        <v/>
      </c>
      <c r="K40" s="18">
        <f t="shared" si="12"/>
        <v>0</v>
      </c>
      <c r="L40" s="7" t="str">
        <f>IF(A40="","",IFERROR(LOOKUP(2,1/(Precios!$B$5:$B$2004=A40),Precios!$A$5:$A$2004),""))</f>
        <v/>
      </c>
      <c r="M40" s="13" t="str">
        <f>IF(A40="","",IFERROR(LOOKUP(2,1/(Precios!$B$5:$B$2004=A40),Precios!$C$5:$C$2004),0))</f>
        <v/>
      </c>
      <c r="N40" s="18" t="str">
        <f t="shared" si="13"/>
        <v/>
      </c>
      <c r="O40" s="18" t="str">
        <f t="shared" si="14"/>
        <v/>
      </c>
      <c r="P40" s="18" t="str">
        <f t="shared" si="15"/>
        <v/>
      </c>
      <c r="Q40" s="18" t="str">
        <f t="shared" si="16"/>
        <v/>
      </c>
      <c r="R40" s="29">
        <f t="shared" si="17"/>
        <v>0</v>
      </c>
      <c r="S40" s="29">
        <f t="shared" si="18"/>
        <v>0</v>
      </c>
      <c r="T40" s="30" t="str">
        <f>IF(A40="","",Activos!E40)</f>
        <v/>
      </c>
      <c r="U40" s="29" t="str">
        <f t="shared" si="19"/>
        <v/>
      </c>
    </row>
    <row r="41" spans="1:21" x14ac:dyDescent="0.3">
      <c r="A41" s="10" t="str">
        <f>IF(Activos!A41="","",Activos!A41)</f>
        <v/>
      </c>
      <c r="B41" s="10" t="str">
        <f>IF(A41="","",Activos!C41)</f>
        <v/>
      </c>
      <c r="C41" s="28" t="str">
        <f>IF(A41="","",SUMIFS(Transacciones!$E$5:$E$1004,Transacciones!$B$5:$B$1004,A41,Transacciones!$D$5:$D$1004,"COMPRA"))</f>
        <v/>
      </c>
      <c r="D41" s="28" t="str">
        <f>IF(A41="","",SUMIFS(Transacciones!$E$5:$E$1004,Transacciones!$B$5:$B$1004,A41,Transacciones!$D$5:$D$1004,"VENTA"))</f>
        <v/>
      </c>
      <c r="E41" s="28" t="str">
        <f>IF(A41="","",SUMIF(Referidos!$C$5:$C$204,A41,Referidos!$D$5:$D$204))</f>
        <v/>
      </c>
      <c r="F41" s="28" t="str">
        <f t="shared" si="10"/>
        <v/>
      </c>
      <c r="G41" s="18" t="str">
        <f>IF(A41="","",SUMIFS(Transacciones!$G$5:$G$1004,Transacciones!$B$5:$B$1004,A41,Transacciones!$D$5:$D$1004,"COMPRA"))</f>
        <v/>
      </c>
      <c r="H41" s="18" t="str">
        <f>IF(A41="","",SUMIFS(Transacciones!$H$5:$H$1004,Transacciones!$B$5:$B$1004,A41,Transacciones!$D$5:$D$1004,"COMPRA"))</f>
        <v/>
      </c>
      <c r="I41" s="18" t="str">
        <f>IF(A41="","",SUMIFS(Transacciones!$I$5:$I$1004,Transacciones!$B$5:$B$1004,A41,Transacciones!$D$5:$D$1004,"VENTA"))</f>
        <v/>
      </c>
      <c r="J41" s="18" t="str">
        <f t="shared" si="11"/>
        <v/>
      </c>
      <c r="K41" s="18">
        <f t="shared" si="12"/>
        <v>0</v>
      </c>
      <c r="L41" s="7" t="str">
        <f>IF(A41="","",IFERROR(LOOKUP(2,1/(Precios!$B$5:$B$2004=A41),Precios!$A$5:$A$2004),""))</f>
        <v/>
      </c>
      <c r="M41" s="13" t="str">
        <f>IF(A41="","",IFERROR(LOOKUP(2,1/(Precios!$B$5:$B$2004=A41),Precios!$C$5:$C$2004),0))</f>
        <v/>
      </c>
      <c r="N41" s="18" t="str">
        <f t="shared" si="13"/>
        <v/>
      </c>
      <c r="O41" s="18" t="str">
        <f t="shared" si="14"/>
        <v/>
      </c>
      <c r="P41" s="18" t="str">
        <f t="shared" si="15"/>
        <v/>
      </c>
      <c r="Q41" s="18" t="str">
        <f t="shared" si="16"/>
        <v/>
      </c>
      <c r="R41" s="29">
        <f t="shared" si="17"/>
        <v>0</v>
      </c>
      <c r="S41" s="29">
        <f t="shared" si="18"/>
        <v>0</v>
      </c>
      <c r="T41" s="30" t="str">
        <f>IF(A41="","",Activos!E41)</f>
        <v/>
      </c>
      <c r="U41" s="29" t="str">
        <f t="shared" si="19"/>
        <v/>
      </c>
    </row>
    <row r="42" spans="1:21" x14ac:dyDescent="0.3">
      <c r="A42" s="10" t="str">
        <f>IF(Activos!A42="","",Activos!A42)</f>
        <v/>
      </c>
      <c r="B42" s="10" t="str">
        <f>IF(A42="","",Activos!C42)</f>
        <v/>
      </c>
      <c r="C42" s="28" t="str">
        <f>IF(A42="","",SUMIFS(Transacciones!$E$5:$E$1004,Transacciones!$B$5:$B$1004,A42,Transacciones!$D$5:$D$1004,"COMPRA"))</f>
        <v/>
      </c>
      <c r="D42" s="28" t="str">
        <f>IF(A42="","",SUMIFS(Transacciones!$E$5:$E$1004,Transacciones!$B$5:$B$1004,A42,Transacciones!$D$5:$D$1004,"VENTA"))</f>
        <v/>
      </c>
      <c r="E42" s="28" t="str">
        <f>IF(A42="","",SUMIF(Referidos!$C$5:$C$204,A42,Referidos!$D$5:$D$204))</f>
        <v/>
      </c>
      <c r="F42" s="28" t="str">
        <f t="shared" si="10"/>
        <v/>
      </c>
      <c r="G42" s="18" t="str">
        <f>IF(A42="","",SUMIFS(Transacciones!$G$5:$G$1004,Transacciones!$B$5:$B$1004,A42,Transacciones!$D$5:$D$1004,"COMPRA"))</f>
        <v/>
      </c>
      <c r="H42" s="18" t="str">
        <f>IF(A42="","",SUMIFS(Transacciones!$H$5:$H$1004,Transacciones!$B$5:$B$1004,A42,Transacciones!$D$5:$D$1004,"COMPRA"))</f>
        <v/>
      </c>
      <c r="I42" s="18" t="str">
        <f>IF(A42="","",SUMIFS(Transacciones!$I$5:$I$1004,Transacciones!$B$5:$B$1004,A42,Transacciones!$D$5:$D$1004,"VENTA"))</f>
        <v/>
      </c>
      <c r="J42" s="18" t="str">
        <f t="shared" si="11"/>
        <v/>
      </c>
      <c r="K42" s="18">
        <f t="shared" si="12"/>
        <v>0</v>
      </c>
      <c r="L42" s="7" t="str">
        <f>IF(A42="","",IFERROR(LOOKUP(2,1/(Precios!$B$5:$B$2004=A42),Precios!$A$5:$A$2004),""))</f>
        <v/>
      </c>
      <c r="M42" s="13" t="str">
        <f>IF(A42="","",IFERROR(LOOKUP(2,1/(Precios!$B$5:$B$2004=A42),Precios!$C$5:$C$2004),0))</f>
        <v/>
      </c>
      <c r="N42" s="18" t="str">
        <f t="shared" si="13"/>
        <v/>
      </c>
      <c r="O42" s="18" t="str">
        <f t="shared" si="14"/>
        <v/>
      </c>
      <c r="P42" s="18" t="str">
        <f t="shared" si="15"/>
        <v/>
      </c>
      <c r="Q42" s="18" t="str">
        <f t="shared" si="16"/>
        <v/>
      </c>
      <c r="R42" s="29">
        <f t="shared" si="17"/>
        <v>0</v>
      </c>
      <c r="S42" s="29">
        <f t="shared" si="18"/>
        <v>0</v>
      </c>
      <c r="T42" s="30" t="str">
        <f>IF(A42="","",Activos!E42)</f>
        <v/>
      </c>
      <c r="U42" s="29" t="str">
        <f t="shared" si="19"/>
        <v/>
      </c>
    </row>
    <row r="43" spans="1:21" x14ac:dyDescent="0.3">
      <c r="A43" s="10" t="str">
        <f>IF(Activos!A43="","",Activos!A43)</f>
        <v/>
      </c>
      <c r="B43" s="10" t="str">
        <f>IF(A43="","",Activos!C43)</f>
        <v/>
      </c>
      <c r="C43" s="28" t="str">
        <f>IF(A43="","",SUMIFS(Transacciones!$E$5:$E$1004,Transacciones!$B$5:$B$1004,A43,Transacciones!$D$5:$D$1004,"COMPRA"))</f>
        <v/>
      </c>
      <c r="D43" s="28" t="str">
        <f>IF(A43="","",SUMIFS(Transacciones!$E$5:$E$1004,Transacciones!$B$5:$B$1004,A43,Transacciones!$D$5:$D$1004,"VENTA"))</f>
        <v/>
      </c>
      <c r="E43" s="28" t="str">
        <f>IF(A43="","",SUMIF(Referidos!$C$5:$C$204,A43,Referidos!$D$5:$D$204))</f>
        <v/>
      </c>
      <c r="F43" s="28" t="str">
        <f t="shared" si="10"/>
        <v/>
      </c>
      <c r="G43" s="18" t="str">
        <f>IF(A43="","",SUMIFS(Transacciones!$G$5:$G$1004,Transacciones!$B$5:$B$1004,A43,Transacciones!$D$5:$D$1004,"COMPRA"))</f>
        <v/>
      </c>
      <c r="H43" s="18" t="str">
        <f>IF(A43="","",SUMIFS(Transacciones!$H$5:$H$1004,Transacciones!$B$5:$B$1004,A43,Transacciones!$D$5:$D$1004,"COMPRA"))</f>
        <v/>
      </c>
      <c r="I43" s="18" t="str">
        <f>IF(A43="","",SUMIFS(Transacciones!$I$5:$I$1004,Transacciones!$B$5:$B$1004,A43,Transacciones!$D$5:$D$1004,"VENTA"))</f>
        <v/>
      </c>
      <c r="J43" s="18" t="str">
        <f t="shared" si="11"/>
        <v/>
      </c>
      <c r="K43" s="18">
        <f t="shared" si="12"/>
        <v>0</v>
      </c>
      <c r="L43" s="7" t="str">
        <f>IF(A43="","",IFERROR(LOOKUP(2,1/(Precios!$B$5:$B$2004=A43),Precios!$A$5:$A$2004),""))</f>
        <v/>
      </c>
      <c r="M43" s="13" t="str">
        <f>IF(A43="","",IFERROR(LOOKUP(2,1/(Precios!$B$5:$B$2004=A43),Precios!$C$5:$C$2004),0))</f>
        <v/>
      </c>
      <c r="N43" s="18" t="str">
        <f t="shared" si="13"/>
        <v/>
      </c>
      <c r="O43" s="18" t="str">
        <f t="shared" si="14"/>
        <v/>
      </c>
      <c r="P43" s="18" t="str">
        <f t="shared" si="15"/>
        <v/>
      </c>
      <c r="Q43" s="18" t="str">
        <f t="shared" si="16"/>
        <v/>
      </c>
      <c r="R43" s="29">
        <f t="shared" si="17"/>
        <v>0</v>
      </c>
      <c r="S43" s="29">
        <f t="shared" si="18"/>
        <v>0</v>
      </c>
      <c r="T43" s="30" t="str">
        <f>IF(A43="","",Activos!E43)</f>
        <v/>
      </c>
      <c r="U43" s="29" t="str">
        <f t="shared" si="19"/>
        <v/>
      </c>
    </row>
    <row r="44" spans="1:21" x14ac:dyDescent="0.3">
      <c r="A44" s="10" t="str">
        <f>IF(Activos!A44="","",Activos!A44)</f>
        <v/>
      </c>
      <c r="B44" s="10" t="str">
        <f>IF(A44="","",Activos!C44)</f>
        <v/>
      </c>
      <c r="C44" s="28" t="str">
        <f>IF(A44="","",SUMIFS(Transacciones!$E$5:$E$1004,Transacciones!$B$5:$B$1004,A44,Transacciones!$D$5:$D$1004,"COMPRA"))</f>
        <v/>
      </c>
      <c r="D44" s="28" t="str">
        <f>IF(A44="","",SUMIFS(Transacciones!$E$5:$E$1004,Transacciones!$B$5:$B$1004,A44,Transacciones!$D$5:$D$1004,"VENTA"))</f>
        <v/>
      </c>
      <c r="E44" s="28" t="str">
        <f>IF(A44="","",SUMIF(Referidos!$C$5:$C$204,A44,Referidos!$D$5:$D$204))</f>
        <v/>
      </c>
      <c r="F44" s="28" t="str">
        <f t="shared" si="10"/>
        <v/>
      </c>
      <c r="G44" s="18" t="str">
        <f>IF(A44="","",SUMIFS(Transacciones!$G$5:$G$1004,Transacciones!$B$5:$B$1004,A44,Transacciones!$D$5:$D$1004,"COMPRA"))</f>
        <v/>
      </c>
      <c r="H44" s="18" t="str">
        <f>IF(A44="","",SUMIFS(Transacciones!$H$5:$H$1004,Transacciones!$B$5:$B$1004,A44,Transacciones!$D$5:$D$1004,"COMPRA"))</f>
        <v/>
      </c>
      <c r="I44" s="18" t="str">
        <f>IF(A44="","",SUMIFS(Transacciones!$I$5:$I$1004,Transacciones!$B$5:$B$1004,A44,Transacciones!$D$5:$D$1004,"VENTA"))</f>
        <v/>
      </c>
      <c r="J44" s="18" t="str">
        <f t="shared" si="11"/>
        <v/>
      </c>
      <c r="K44" s="18">
        <f t="shared" si="12"/>
        <v>0</v>
      </c>
      <c r="L44" s="7" t="str">
        <f>IF(A44="","",IFERROR(LOOKUP(2,1/(Precios!$B$5:$B$2004=A44),Precios!$A$5:$A$2004),""))</f>
        <v/>
      </c>
      <c r="M44" s="13" t="str">
        <f>IF(A44="","",IFERROR(LOOKUP(2,1/(Precios!$B$5:$B$2004=A44),Precios!$C$5:$C$2004),0))</f>
        <v/>
      </c>
      <c r="N44" s="18" t="str">
        <f t="shared" si="13"/>
        <v/>
      </c>
      <c r="O44" s="18" t="str">
        <f t="shared" si="14"/>
        <v/>
      </c>
      <c r="P44" s="18" t="str">
        <f t="shared" si="15"/>
        <v/>
      </c>
      <c r="Q44" s="18" t="str">
        <f t="shared" si="16"/>
        <v/>
      </c>
      <c r="R44" s="29">
        <f t="shared" si="17"/>
        <v>0</v>
      </c>
      <c r="S44" s="29">
        <f t="shared" si="18"/>
        <v>0</v>
      </c>
      <c r="T44" s="30" t="str">
        <f>IF(A44="","",Activos!E44)</f>
        <v/>
      </c>
      <c r="U44" s="29" t="str">
        <f t="shared" si="19"/>
        <v/>
      </c>
    </row>
    <row r="45" spans="1:21" x14ac:dyDescent="0.3">
      <c r="A45" s="10" t="str">
        <f>IF(Activos!A45="","",Activos!A45)</f>
        <v/>
      </c>
      <c r="B45" s="10" t="str">
        <f>IF(A45="","",Activos!C45)</f>
        <v/>
      </c>
      <c r="C45" s="28" t="str">
        <f>IF(A45="","",SUMIFS(Transacciones!$E$5:$E$1004,Transacciones!$B$5:$B$1004,A45,Transacciones!$D$5:$D$1004,"COMPRA"))</f>
        <v/>
      </c>
      <c r="D45" s="28" t="str">
        <f>IF(A45="","",SUMIFS(Transacciones!$E$5:$E$1004,Transacciones!$B$5:$B$1004,A45,Transacciones!$D$5:$D$1004,"VENTA"))</f>
        <v/>
      </c>
      <c r="E45" s="28" t="str">
        <f>IF(A45="","",SUMIF(Referidos!$C$5:$C$204,A45,Referidos!$D$5:$D$204))</f>
        <v/>
      </c>
      <c r="F45" s="28" t="str">
        <f t="shared" si="10"/>
        <v/>
      </c>
      <c r="G45" s="18" t="str">
        <f>IF(A45="","",SUMIFS(Transacciones!$G$5:$G$1004,Transacciones!$B$5:$B$1004,A45,Transacciones!$D$5:$D$1004,"COMPRA"))</f>
        <v/>
      </c>
      <c r="H45" s="18" t="str">
        <f>IF(A45="","",SUMIFS(Transacciones!$H$5:$H$1004,Transacciones!$B$5:$B$1004,A45,Transacciones!$D$5:$D$1004,"COMPRA"))</f>
        <v/>
      </c>
      <c r="I45" s="18" t="str">
        <f>IF(A45="","",SUMIFS(Transacciones!$I$5:$I$1004,Transacciones!$B$5:$B$1004,A45,Transacciones!$D$5:$D$1004,"VENTA"))</f>
        <v/>
      </c>
      <c r="J45" s="18" t="str">
        <f t="shared" si="11"/>
        <v/>
      </c>
      <c r="K45" s="18">
        <f t="shared" si="12"/>
        <v>0</v>
      </c>
      <c r="L45" s="7" t="str">
        <f>IF(A45="","",IFERROR(LOOKUP(2,1/(Precios!$B$5:$B$2004=A45),Precios!$A$5:$A$2004),""))</f>
        <v/>
      </c>
      <c r="M45" s="13" t="str">
        <f>IF(A45="","",IFERROR(LOOKUP(2,1/(Precios!$B$5:$B$2004=A45),Precios!$C$5:$C$2004),0))</f>
        <v/>
      </c>
      <c r="N45" s="18" t="str">
        <f t="shared" si="13"/>
        <v/>
      </c>
      <c r="O45" s="18" t="str">
        <f t="shared" si="14"/>
        <v/>
      </c>
      <c r="P45" s="18" t="str">
        <f t="shared" si="15"/>
        <v/>
      </c>
      <c r="Q45" s="18" t="str">
        <f t="shared" si="16"/>
        <v/>
      </c>
      <c r="R45" s="29">
        <f t="shared" si="17"/>
        <v>0</v>
      </c>
      <c r="S45" s="29">
        <f t="shared" si="18"/>
        <v>0</v>
      </c>
      <c r="T45" s="30" t="str">
        <f>IF(A45="","",Activos!E45)</f>
        <v/>
      </c>
      <c r="U45" s="29" t="str">
        <f t="shared" si="19"/>
        <v/>
      </c>
    </row>
    <row r="46" spans="1:21" x14ac:dyDescent="0.3">
      <c r="A46" s="10" t="str">
        <f>IF(Activos!A46="","",Activos!A46)</f>
        <v/>
      </c>
      <c r="B46" s="10" t="str">
        <f>IF(A46="","",Activos!C46)</f>
        <v/>
      </c>
      <c r="C46" s="28" t="str">
        <f>IF(A46="","",SUMIFS(Transacciones!$E$5:$E$1004,Transacciones!$B$5:$B$1004,A46,Transacciones!$D$5:$D$1004,"COMPRA"))</f>
        <v/>
      </c>
      <c r="D46" s="28" t="str">
        <f>IF(A46="","",SUMIFS(Transacciones!$E$5:$E$1004,Transacciones!$B$5:$B$1004,A46,Transacciones!$D$5:$D$1004,"VENTA"))</f>
        <v/>
      </c>
      <c r="E46" s="28" t="str">
        <f>IF(A46="","",SUMIF(Referidos!$C$5:$C$204,A46,Referidos!$D$5:$D$204))</f>
        <v/>
      </c>
      <c r="F46" s="28" t="str">
        <f t="shared" si="10"/>
        <v/>
      </c>
      <c r="G46" s="18" t="str">
        <f>IF(A46="","",SUMIFS(Transacciones!$G$5:$G$1004,Transacciones!$B$5:$B$1004,A46,Transacciones!$D$5:$D$1004,"COMPRA"))</f>
        <v/>
      </c>
      <c r="H46" s="18" t="str">
        <f>IF(A46="","",SUMIFS(Transacciones!$H$5:$H$1004,Transacciones!$B$5:$B$1004,A46,Transacciones!$D$5:$D$1004,"COMPRA"))</f>
        <v/>
      </c>
      <c r="I46" s="18" t="str">
        <f>IF(A46="","",SUMIFS(Transacciones!$I$5:$I$1004,Transacciones!$B$5:$B$1004,A46,Transacciones!$D$5:$D$1004,"VENTA"))</f>
        <v/>
      </c>
      <c r="J46" s="18" t="str">
        <f t="shared" si="11"/>
        <v/>
      </c>
      <c r="K46" s="18">
        <f t="shared" si="12"/>
        <v>0</v>
      </c>
      <c r="L46" s="7" t="str">
        <f>IF(A46="","",IFERROR(LOOKUP(2,1/(Precios!$B$5:$B$2004=A46),Precios!$A$5:$A$2004),""))</f>
        <v/>
      </c>
      <c r="M46" s="13" t="str">
        <f>IF(A46="","",IFERROR(LOOKUP(2,1/(Precios!$B$5:$B$2004=A46),Precios!$C$5:$C$2004),0))</f>
        <v/>
      </c>
      <c r="N46" s="18" t="str">
        <f t="shared" si="13"/>
        <v/>
      </c>
      <c r="O46" s="18" t="str">
        <f t="shared" si="14"/>
        <v/>
      </c>
      <c r="P46" s="18" t="str">
        <f t="shared" si="15"/>
        <v/>
      </c>
      <c r="Q46" s="18" t="str">
        <f t="shared" si="16"/>
        <v/>
      </c>
      <c r="R46" s="29">
        <f t="shared" si="17"/>
        <v>0</v>
      </c>
      <c r="S46" s="29">
        <f t="shared" si="18"/>
        <v>0</v>
      </c>
      <c r="T46" s="30" t="str">
        <f>IF(A46="","",Activos!E46)</f>
        <v/>
      </c>
      <c r="U46" s="29" t="str">
        <f t="shared" si="19"/>
        <v/>
      </c>
    </row>
    <row r="47" spans="1:21" x14ac:dyDescent="0.3">
      <c r="A47" s="10" t="str">
        <f>IF(Activos!A47="","",Activos!A47)</f>
        <v/>
      </c>
      <c r="B47" s="10" t="str">
        <f>IF(A47="","",Activos!C47)</f>
        <v/>
      </c>
      <c r="C47" s="28" t="str">
        <f>IF(A47="","",SUMIFS(Transacciones!$E$5:$E$1004,Transacciones!$B$5:$B$1004,A47,Transacciones!$D$5:$D$1004,"COMPRA"))</f>
        <v/>
      </c>
      <c r="D47" s="28" t="str">
        <f>IF(A47="","",SUMIFS(Transacciones!$E$5:$E$1004,Transacciones!$B$5:$B$1004,A47,Transacciones!$D$5:$D$1004,"VENTA"))</f>
        <v/>
      </c>
      <c r="E47" s="28" t="str">
        <f>IF(A47="","",SUMIF(Referidos!$C$5:$C$204,A47,Referidos!$D$5:$D$204))</f>
        <v/>
      </c>
      <c r="F47" s="28" t="str">
        <f t="shared" si="10"/>
        <v/>
      </c>
      <c r="G47" s="18" t="str">
        <f>IF(A47="","",SUMIFS(Transacciones!$G$5:$G$1004,Transacciones!$B$5:$B$1004,A47,Transacciones!$D$5:$D$1004,"COMPRA"))</f>
        <v/>
      </c>
      <c r="H47" s="18" t="str">
        <f>IF(A47="","",SUMIFS(Transacciones!$H$5:$H$1004,Transacciones!$B$5:$B$1004,A47,Transacciones!$D$5:$D$1004,"COMPRA"))</f>
        <v/>
      </c>
      <c r="I47" s="18" t="str">
        <f>IF(A47="","",SUMIFS(Transacciones!$I$5:$I$1004,Transacciones!$B$5:$B$1004,A47,Transacciones!$D$5:$D$1004,"VENTA"))</f>
        <v/>
      </c>
      <c r="J47" s="18" t="str">
        <f t="shared" si="11"/>
        <v/>
      </c>
      <c r="K47" s="18">
        <f t="shared" si="12"/>
        <v>0</v>
      </c>
      <c r="L47" s="7" t="str">
        <f>IF(A47="","",IFERROR(LOOKUP(2,1/(Precios!$B$5:$B$2004=A47),Precios!$A$5:$A$2004),""))</f>
        <v/>
      </c>
      <c r="M47" s="13" t="str">
        <f>IF(A47="","",IFERROR(LOOKUP(2,1/(Precios!$B$5:$B$2004=A47),Precios!$C$5:$C$2004),0))</f>
        <v/>
      </c>
      <c r="N47" s="18" t="str">
        <f t="shared" si="13"/>
        <v/>
      </c>
      <c r="O47" s="18" t="str">
        <f t="shared" si="14"/>
        <v/>
      </c>
      <c r="P47" s="18" t="str">
        <f t="shared" si="15"/>
        <v/>
      </c>
      <c r="Q47" s="18" t="str">
        <f t="shared" si="16"/>
        <v/>
      </c>
      <c r="R47" s="29">
        <f t="shared" si="17"/>
        <v>0</v>
      </c>
      <c r="S47" s="29">
        <f t="shared" si="18"/>
        <v>0</v>
      </c>
      <c r="T47" s="30" t="str">
        <f>IF(A47="","",Activos!E47)</f>
        <v/>
      </c>
      <c r="U47" s="29" t="str">
        <f t="shared" si="19"/>
        <v/>
      </c>
    </row>
    <row r="48" spans="1:21" x14ac:dyDescent="0.3">
      <c r="A48" s="10" t="str">
        <f>IF(Activos!A48="","",Activos!A48)</f>
        <v/>
      </c>
      <c r="B48" s="10" t="str">
        <f>IF(A48="","",Activos!C48)</f>
        <v/>
      </c>
      <c r="C48" s="28" t="str">
        <f>IF(A48="","",SUMIFS(Transacciones!$E$5:$E$1004,Transacciones!$B$5:$B$1004,A48,Transacciones!$D$5:$D$1004,"COMPRA"))</f>
        <v/>
      </c>
      <c r="D48" s="28" t="str">
        <f>IF(A48="","",SUMIFS(Transacciones!$E$5:$E$1004,Transacciones!$B$5:$B$1004,A48,Transacciones!$D$5:$D$1004,"VENTA"))</f>
        <v/>
      </c>
      <c r="E48" s="28" t="str">
        <f>IF(A48="","",SUMIF(Referidos!$C$5:$C$204,A48,Referidos!$D$5:$D$204))</f>
        <v/>
      </c>
      <c r="F48" s="28" t="str">
        <f t="shared" si="10"/>
        <v/>
      </c>
      <c r="G48" s="18" t="str">
        <f>IF(A48="","",SUMIFS(Transacciones!$G$5:$G$1004,Transacciones!$B$5:$B$1004,A48,Transacciones!$D$5:$D$1004,"COMPRA"))</f>
        <v/>
      </c>
      <c r="H48" s="18" t="str">
        <f>IF(A48="","",SUMIFS(Transacciones!$H$5:$H$1004,Transacciones!$B$5:$B$1004,A48,Transacciones!$D$5:$D$1004,"COMPRA"))</f>
        <v/>
      </c>
      <c r="I48" s="18" t="str">
        <f>IF(A48="","",SUMIFS(Transacciones!$I$5:$I$1004,Transacciones!$B$5:$B$1004,A48,Transacciones!$D$5:$D$1004,"VENTA"))</f>
        <v/>
      </c>
      <c r="J48" s="18" t="str">
        <f t="shared" si="11"/>
        <v/>
      </c>
      <c r="K48" s="18">
        <f t="shared" si="12"/>
        <v>0</v>
      </c>
      <c r="L48" s="7" t="str">
        <f>IF(A48="","",IFERROR(LOOKUP(2,1/(Precios!$B$5:$B$2004=A48),Precios!$A$5:$A$2004),""))</f>
        <v/>
      </c>
      <c r="M48" s="13" t="str">
        <f>IF(A48="","",IFERROR(LOOKUP(2,1/(Precios!$B$5:$B$2004=A48),Precios!$C$5:$C$2004),0))</f>
        <v/>
      </c>
      <c r="N48" s="18" t="str">
        <f t="shared" si="13"/>
        <v/>
      </c>
      <c r="O48" s="18" t="str">
        <f t="shared" si="14"/>
        <v/>
      </c>
      <c r="P48" s="18" t="str">
        <f t="shared" si="15"/>
        <v/>
      </c>
      <c r="Q48" s="18" t="str">
        <f t="shared" si="16"/>
        <v/>
      </c>
      <c r="R48" s="29">
        <f t="shared" si="17"/>
        <v>0</v>
      </c>
      <c r="S48" s="29">
        <f t="shared" si="18"/>
        <v>0</v>
      </c>
      <c r="T48" s="30" t="str">
        <f>IF(A48="","",Activos!E48)</f>
        <v/>
      </c>
      <c r="U48" s="29" t="str">
        <f t="shared" si="19"/>
        <v/>
      </c>
    </row>
    <row r="49" spans="1:21" x14ac:dyDescent="0.3">
      <c r="A49" s="10" t="str">
        <f>IF(Activos!A49="","",Activos!A49)</f>
        <v/>
      </c>
      <c r="B49" s="10" t="str">
        <f>IF(A49="","",Activos!C49)</f>
        <v/>
      </c>
      <c r="C49" s="28" t="str">
        <f>IF(A49="","",SUMIFS(Transacciones!$E$5:$E$1004,Transacciones!$B$5:$B$1004,A49,Transacciones!$D$5:$D$1004,"COMPRA"))</f>
        <v/>
      </c>
      <c r="D49" s="28" t="str">
        <f>IF(A49="","",SUMIFS(Transacciones!$E$5:$E$1004,Transacciones!$B$5:$B$1004,A49,Transacciones!$D$5:$D$1004,"VENTA"))</f>
        <v/>
      </c>
      <c r="E49" s="28" t="str">
        <f>IF(A49="","",SUMIF(Referidos!$C$5:$C$204,A49,Referidos!$D$5:$D$204))</f>
        <v/>
      </c>
      <c r="F49" s="28" t="str">
        <f t="shared" si="10"/>
        <v/>
      </c>
      <c r="G49" s="18" t="str">
        <f>IF(A49="","",SUMIFS(Transacciones!$G$5:$G$1004,Transacciones!$B$5:$B$1004,A49,Transacciones!$D$5:$D$1004,"COMPRA"))</f>
        <v/>
      </c>
      <c r="H49" s="18" t="str">
        <f>IF(A49="","",SUMIFS(Transacciones!$H$5:$H$1004,Transacciones!$B$5:$B$1004,A49,Transacciones!$D$5:$D$1004,"COMPRA"))</f>
        <v/>
      </c>
      <c r="I49" s="18" t="str">
        <f>IF(A49="","",SUMIFS(Transacciones!$I$5:$I$1004,Transacciones!$B$5:$B$1004,A49,Transacciones!$D$5:$D$1004,"VENTA"))</f>
        <v/>
      </c>
      <c r="J49" s="18" t="str">
        <f t="shared" si="11"/>
        <v/>
      </c>
      <c r="K49" s="18">
        <f t="shared" si="12"/>
        <v>0</v>
      </c>
      <c r="L49" s="7" t="str">
        <f>IF(A49="","",IFERROR(LOOKUP(2,1/(Precios!$B$5:$B$2004=A49),Precios!$A$5:$A$2004),""))</f>
        <v/>
      </c>
      <c r="M49" s="13" t="str">
        <f>IF(A49="","",IFERROR(LOOKUP(2,1/(Precios!$B$5:$B$2004=A49),Precios!$C$5:$C$2004),0))</f>
        <v/>
      </c>
      <c r="N49" s="18" t="str">
        <f t="shared" si="13"/>
        <v/>
      </c>
      <c r="O49" s="18" t="str">
        <f t="shared" si="14"/>
        <v/>
      </c>
      <c r="P49" s="18" t="str">
        <f t="shared" si="15"/>
        <v/>
      </c>
      <c r="Q49" s="18" t="str">
        <f t="shared" si="16"/>
        <v/>
      </c>
      <c r="R49" s="29">
        <f t="shared" si="17"/>
        <v>0</v>
      </c>
      <c r="S49" s="29">
        <f t="shared" si="18"/>
        <v>0</v>
      </c>
      <c r="T49" s="30" t="str">
        <f>IF(A49="","",Activos!E49)</f>
        <v/>
      </c>
      <c r="U49" s="29" t="str">
        <f t="shared" si="19"/>
        <v/>
      </c>
    </row>
    <row r="50" spans="1:21" x14ac:dyDescent="0.3">
      <c r="A50" s="10" t="str">
        <f>IF(Activos!A50="","",Activos!A50)</f>
        <v/>
      </c>
      <c r="B50" s="10" t="str">
        <f>IF(A50="","",Activos!C50)</f>
        <v/>
      </c>
      <c r="C50" s="28" t="str">
        <f>IF(A50="","",SUMIFS(Transacciones!$E$5:$E$1004,Transacciones!$B$5:$B$1004,A50,Transacciones!$D$5:$D$1004,"COMPRA"))</f>
        <v/>
      </c>
      <c r="D50" s="28" t="str">
        <f>IF(A50="","",SUMIFS(Transacciones!$E$5:$E$1004,Transacciones!$B$5:$B$1004,A50,Transacciones!$D$5:$D$1004,"VENTA"))</f>
        <v/>
      </c>
      <c r="E50" s="28" t="str">
        <f>IF(A50="","",SUMIF(Referidos!$C$5:$C$204,A50,Referidos!$D$5:$D$204))</f>
        <v/>
      </c>
      <c r="F50" s="28" t="str">
        <f t="shared" si="10"/>
        <v/>
      </c>
      <c r="G50" s="18" t="str">
        <f>IF(A50="","",SUMIFS(Transacciones!$G$5:$G$1004,Transacciones!$B$5:$B$1004,A50,Transacciones!$D$5:$D$1004,"COMPRA"))</f>
        <v/>
      </c>
      <c r="H50" s="18" t="str">
        <f>IF(A50="","",SUMIFS(Transacciones!$H$5:$H$1004,Transacciones!$B$5:$B$1004,A50,Transacciones!$D$5:$D$1004,"COMPRA"))</f>
        <v/>
      </c>
      <c r="I50" s="18" t="str">
        <f>IF(A50="","",SUMIFS(Transacciones!$I$5:$I$1004,Transacciones!$B$5:$B$1004,A50,Transacciones!$D$5:$D$1004,"VENTA"))</f>
        <v/>
      </c>
      <c r="J50" s="18" t="str">
        <f t="shared" si="11"/>
        <v/>
      </c>
      <c r="K50" s="18">
        <f t="shared" si="12"/>
        <v>0</v>
      </c>
      <c r="L50" s="7" t="str">
        <f>IF(A50="","",IFERROR(LOOKUP(2,1/(Precios!$B$5:$B$2004=A50),Precios!$A$5:$A$2004),""))</f>
        <v/>
      </c>
      <c r="M50" s="13" t="str">
        <f>IF(A50="","",IFERROR(LOOKUP(2,1/(Precios!$B$5:$B$2004=A50),Precios!$C$5:$C$2004),0))</f>
        <v/>
      </c>
      <c r="N50" s="18" t="str">
        <f t="shared" si="13"/>
        <v/>
      </c>
      <c r="O50" s="18" t="str">
        <f t="shared" si="14"/>
        <v/>
      </c>
      <c r="P50" s="18" t="str">
        <f t="shared" si="15"/>
        <v/>
      </c>
      <c r="Q50" s="18" t="str">
        <f t="shared" si="16"/>
        <v/>
      </c>
      <c r="R50" s="29">
        <f t="shared" si="17"/>
        <v>0</v>
      </c>
      <c r="S50" s="29">
        <f t="shared" si="18"/>
        <v>0</v>
      </c>
      <c r="T50" s="30" t="str">
        <f>IF(A50="","",Activos!E50)</f>
        <v/>
      </c>
      <c r="U50" s="29" t="str">
        <f t="shared" si="19"/>
        <v/>
      </c>
    </row>
    <row r="51" spans="1:21" x14ac:dyDescent="0.3">
      <c r="A51" s="10" t="str">
        <f>IF(Activos!A51="","",Activos!A51)</f>
        <v/>
      </c>
      <c r="B51" s="10" t="str">
        <f>IF(A51="","",Activos!C51)</f>
        <v/>
      </c>
      <c r="C51" s="28" t="str">
        <f>IF(A51="","",SUMIFS(Transacciones!$E$5:$E$1004,Transacciones!$B$5:$B$1004,A51,Transacciones!$D$5:$D$1004,"COMPRA"))</f>
        <v/>
      </c>
      <c r="D51" s="28" t="str">
        <f>IF(A51="","",SUMIFS(Transacciones!$E$5:$E$1004,Transacciones!$B$5:$B$1004,A51,Transacciones!$D$5:$D$1004,"VENTA"))</f>
        <v/>
      </c>
      <c r="E51" s="28" t="str">
        <f>IF(A51="","",SUMIF(Referidos!$C$5:$C$204,A51,Referidos!$D$5:$D$204))</f>
        <v/>
      </c>
      <c r="F51" s="28" t="str">
        <f t="shared" si="10"/>
        <v/>
      </c>
      <c r="G51" s="18" t="str">
        <f>IF(A51="","",SUMIFS(Transacciones!$G$5:$G$1004,Transacciones!$B$5:$B$1004,A51,Transacciones!$D$5:$D$1004,"COMPRA"))</f>
        <v/>
      </c>
      <c r="H51" s="18" t="str">
        <f>IF(A51="","",SUMIFS(Transacciones!$H$5:$H$1004,Transacciones!$B$5:$B$1004,A51,Transacciones!$D$5:$D$1004,"COMPRA"))</f>
        <v/>
      </c>
      <c r="I51" s="18" t="str">
        <f>IF(A51="","",SUMIFS(Transacciones!$I$5:$I$1004,Transacciones!$B$5:$B$1004,A51,Transacciones!$D$5:$D$1004,"VENTA"))</f>
        <v/>
      </c>
      <c r="J51" s="18" t="str">
        <f t="shared" si="11"/>
        <v/>
      </c>
      <c r="K51" s="18">
        <f t="shared" si="12"/>
        <v>0</v>
      </c>
      <c r="L51" s="7" t="str">
        <f>IF(A51="","",IFERROR(LOOKUP(2,1/(Precios!$B$5:$B$2004=A51),Precios!$A$5:$A$2004),""))</f>
        <v/>
      </c>
      <c r="M51" s="13" t="str">
        <f>IF(A51="","",IFERROR(LOOKUP(2,1/(Precios!$B$5:$B$2004=A51),Precios!$C$5:$C$2004),0))</f>
        <v/>
      </c>
      <c r="N51" s="18" t="str">
        <f t="shared" si="13"/>
        <v/>
      </c>
      <c r="O51" s="18" t="str">
        <f t="shared" si="14"/>
        <v/>
      </c>
      <c r="P51" s="18" t="str">
        <f t="shared" si="15"/>
        <v/>
      </c>
      <c r="Q51" s="18" t="str">
        <f t="shared" si="16"/>
        <v/>
      </c>
      <c r="R51" s="29">
        <f t="shared" si="17"/>
        <v>0</v>
      </c>
      <c r="S51" s="29">
        <f t="shared" si="18"/>
        <v>0</v>
      </c>
      <c r="T51" s="30" t="str">
        <f>IF(A51="","",Activos!E51)</f>
        <v/>
      </c>
      <c r="U51" s="29" t="str">
        <f t="shared" si="19"/>
        <v/>
      </c>
    </row>
    <row r="52" spans="1:21" x14ac:dyDescent="0.3">
      <c r="A52" s="10" t="str">
        <f>IF(Activos!A52="","",Activos!A52)</f>
        <v/>
      </c>
      <c r="B52" s="10" t="str">
        <f>IF(A52="","",Activos!C52)</f>
        <v/>
      </c>
      <c r="C52" s="28" t="str">
        <f>IF(A52="","",SUMIFS(Transacciones!$E$5:$E$1004,Transacciones!$B$5:$B$1004,A52,Transacciones!$D$5:$D$1004,"COMPRA"))</f>
        <v/>
      </c>
      <c r="D52" s="28" t="str">
        <f>IF(A52="","",SUMIFS(Transacciones!$E$5:$E$1004,Transacciones!$B$5:$B$1004,A52,Transacciones!$D$5:$D$1004,"VENTA"))</f>
        <v/>
      </c>
      <c r="E52" s="28" t="str">
        <f>IF(A52="","",SUMIF(Referidos!$C$5:$C$204,A52,Referidos!$D$5:$D$204))</f>
        <v/>
      </c>
      <c r="F52" s="28" t="str">
        <f t="shared" si="10"/>
        <v/>
      </c>
      <c r="G52" s="18" t="str">
        <f>IF(A52="","",SUMIFS(Transacciones!$G$5:$G$1004,Transacciones!$B$5:$B$1004,A52,Transacciones!$D$5:$D$1004,"COMPRA"))</f>
        <v/>
      </c>
      <c r="H52" s="18" t="str">
        <f>IF(A52="","",SUMIFS(Transacciones!$H$5:$H$1004,Transacciones!$B$5:$B$1004,A52,Transacciones!$D$5:$D$1004,"COMPRA"))</f>
        <v/>
      </c>
      <c r="I52" s="18" t="str">
        <f>IF(A52="","",SUMIFS(Transacciones!$I$5:$I$1004,Transacciones!$B$5:$B$1004,A52,Transacciones!$D$5:$D$1004,"VENTA"))</f>
        <v/>
      </c>
      <c r="J52" s="18" t="str">
        <f t="shared" si="11"/>
        <v/>
      </c>
      <c r="K52" s="18">
        <f t="shared" si="12"/>
        <v>0</v>
      </c>
      <c r="L52" s="7" t="str">
        <f>IF(A52="","",IFERROR(LOOKUP(2,1/(Precios!$B$5:$B$2004=A52),Precios!$A$5:$A$2004),""))</f>
        <v/>
      </c>
      <c r="M52" s="13" t="str">
        <f>IF(A52="","",IFERROR(LOOKUP(2,1/(Precios!$B$5:$B$2004=A52),Precios!$C$5:$C$2004),0))</f>
        <v/>
      </c>
      <c r="N52" s="18" t="str">
        <f t="shared" si="13"/>
        <v/>
      </c>
      <c r="O52" s="18" t="str">
        <f t="shared" si="14"/>
        <v/>
      </c>
      <c r="P52" s="18" t="str">
        <f t="shared" si="15"/>
        <v/>
      </c>
      <c r="Q52" s="18" t="str">
        <f t="shared" si="16"/>
        <v/>
      </c>
      <c r="R52" s="29">
        <f t="shared" si="17"/>
        <v>0</v>
      </c>
      <c r="S52" s="29">
        <f t="shared" si="18"/>
        <v>0</v>
      </c>
      <c r="T52" s="30" t="str">
        <f>IF(A52="","",Activos!E52)</f>
        <v/>
      </c>
      <c r="U52" s="29" t="str">
        <f t="shared" si="19"/>
        <v/>
      </c>
    </row>
    <row r="53" spans="1:21" x14ac:dyDescent="0.3">
      <c r="A53" s="10" t="str">
        <f>IF(Activos!A53="","",Activos!A53)</f>
        <v/>
      </c>
      <c r="B53" s="10" t="str">
        <f>IF(A53="","",Activos!C53)</f>
        <v/>
      </c>
      <c r="C53" s="28" t="str">
        <f>IF(A53="","",SUMIFS(Transacciones!$E$5:$E$1004,Transacciones!$B$5:$B$1004,A53,Transacciones!$D$5:$D$1004,"COMPRA"))</f>
        <v/>
      </c>
      <c r="D53" s="28" t="str">
        <f>IF(A53="","",SUMIFS(Transacciones!$E$5:$E$1004,Transacciones!$B$5:$B$1004,A53,Transacciones!$D$5:$D$1004,"VENTA"))</f>
        <v/>
      </c>
      <c r="E53" s="28" t="str">
        <f>IF(A53="","",SUMIF(Referidos!$C$5:$C$204,A53,Referidos!$D$5:$D$204))</f>
        <v/>
      </c>
      <c r="F53" s="28" t="str">
        <f t="shared" si="10"/>
        <v/>
      </c>
      <c r="G53" s="18" t="str">
        <f>IF(A53="","",SUMIFS(Transacciones!$G$5:$G$1004,Transacciones!$B$5:$B$1004,A53,Transacciones!$D$5:$D$1004,"COMPRA"))</f>
        <v/>
      </c>
      <c r="H53" s="18" t="str">
        <f>IF(A53="","",SUMIFS(Transacciones!$H$5:$H$1004,Transacciones!$B$5:$B$1004,A53,Transacciones!$D$5:$D$1004,"COMPRA"))</f>
        <v/>
      </c>
      <c r="I53" s="18" t="str">
        <f>IF(A53="","",SUMIFS(Transacciones!$I$5:$I$1004,Transacciones!$B$5:$B$1004,A53,Transacciones!$D$5:$D$1004,"VENTA"))</f>
        <v/>
      </c>
      <c r="J53" s="18" t="str">
        <f t="shared" si="11"/>
        <v/>
      </c>
      <c r="K53" s="18">
        <f t="shared" si="12"/>
        <v>0</v>
      </c>
      <c r="L53" s="7" t="str">
        <f>IF(A53="","",IFERROR(LOOKUP(2,1/(Precios!$B$5:$B$2004=A53),Precios!$A$5:$A$2004),""))</f>
        <v/>
      </c>
      <c r="M53" s="13" t="str">
        <f>IF(A53="","",IFERROR(LOOKUP(2,1/(Precios!$B$5:$B$2004=A53),Precios!$C$5:$C$2004),0))</f>
        <v/>
      </c>
      <c r="N53" s="18" t="str">
        <f t="shared" si="13"/>
        <v/>
      </c>
      <c r="O53" s="18" t="str">
        <f t="shared" si="14"/>
        <v/>
      </c>
      <c r="P53" s="18" t="str">
        <f t="shared" si="15"/>
        <v/>
      </c>
      <c r="Q53" s="18" t="str">
        <f t="shared" si="16"/>
        <v/>
      </c>
      <c r="R53" s="29">
        <f t="shared" si="17"/>
        <v>0</v>
      </c>
      <c r="S53" s="29">
        <f t="shared" si="18"/>
        <v>0</v>
      </c>
      <c r="T53" s="30" t="str">
        <f>IF(A53="","",Activos!E53)</f>
        <v/>
      </c>
      <c r="U53" s="29" t="str">
        <f t="shared" si="19"/>
        <v/>
      </c>
    </row>
    <row r="54" spans="1:21" x14ac:dyDescent="0.3">
      <c r="A54" s="10" t="str">
        <f>IF(Activos!A54="","",Activos!A54)</f>
        <v/>
      </c>
      <c r="B54" s="10" t="str">
        <f>IF(A54="","",Activos!C54)</f>
        <v/>
      </c>
      <c r="C54" s="28" t="str">
        <f>IF(A54="","",SUMIFS(Transacciones!$E$5:$E$1004,Transacciones!$B$5:$B$1004,A54,Transacciones!$D$5:$D$1004,"COMPRA"))</f>
        <v/>
      </c>
      <c r="D54" s="28" t="str">
        <f>IF(A54="","",SUMIFS(Transacciones!$E$5:$E$1004,Transacciones!$B$5:$B$1004,A54,Transacciones!$D$5:$D$1004,"VENTA"))</f>
        <v/>
      </c>
      <c r="E54" s="28" t="str">
        <f>IF(A54="","",SUMIF(Referidos!$C$5:$C$204,A54,Referidos!$D$5:$D$204))</f>
        <v/>
      </c>
      <c r="F54" s="28" t="str">
        <f t="shared" si="10"/>
        <v/>
      </c>
      <c r="G54" s="18" t="str">
        <f>IF(A54="","",SUMIFS(Transacciones!$G$5:$G$1004,Transacciones!$B$5:$B$1004,A54,Transacciones!$D$5:$D$1004,"COMPRA"))</f>
        <v/>
      </c>
      <c r="H54" s="18" t="str">
        <f>IF(A54="","",SUMIFS(Transacciones!$H$5:$H$1004,Transacciones!$B$5:$B$1004,A54,Transacciones!$D$5:$D$1004,"COMPRA"))</f>
        <v/>
      </c>
      <c r="I54" s="18" t="str">
        <f>IF(A54="","",SUMIFS(Transacciones!$I$5:$I$1004,Transacciones!$B$5:$B$1004,A54,Transacciones!$D$5:$D$1004,"VENTA"))</f>
        <v/>
      </c>
      <c r="J54" s="18" t="str">
        <f t="shared" si="11"/>
        <v/>
      </c>
      <c r="K54" s="18">
        <f t="shared" si="12"/>
        <v>0</v>
      </c>
      <c r="L54" s="7" t="str">
        <f>IF(A54="","",IFERROR(LOOKUP(2,1/(Precios!$B$5:$B$2004=A54),Precios!$A$5:$A$2004),""))</f>
        <v/>
      </c>
      <c r="M54" s="13" t="str">
        <f>IF(A54="","",IFERROR(LOOKUP(2,1/(Precios!$B$5:$B$2004=A54),Precios!$C$5:$C$2004),0))</f>
        <v/>
      </c>
      <c r="N54" s="18" t="str">
        <f t="shared" si="13"/>
        <v/>
      </c>
      <c r="O54" s="18" t="str">
        <f t="shared" si="14"/>
        <v/>
      </c>
      <c r="P54" s="18" t="str">
        <f t="shared" si="15"/>
        <v/>
      </c>
      <c r="Q54" s="18" t="str">
        <f t="shared" si="16"/>
        <v/>
      </c>
      <c r="R54" s="29">
        <f t="shared" si="17"/>
        <v>0</v>
      </c>
      <c r="S54" s="29">
        <f t="shared" si="18"/>
        <v>0</v>
      </c>
      <c r="T54" s="30" t="str">
        <f>IF(A54="","",Activos!E54)</f>
        <v/>
      </c>
      <c r="U54" s="29" t="str">
        <f t="shared" si="19"/>
        <v/>
      </c>
    </row>
    <row r="55" spans="1:21" x14ac:dyDescent="0.3">
      <c r="A55" s="10" t="str">
        <f>IF(Activos!A55="","",Activos!A55)</f>
        <v/>
      </c>
      <c r="B55" s="10" t="str">
        <f>IF(A55="","",Activos!C55)</f>
        <v/>
      </c>
      <c r="C55" s="28" t="str">
        <f>IF(A55="","",SUMIFS(Transacciones!$E$5:$E$1004,Transacciones!$B$5:$B$1004,A55,Transacciones!$D$5:$D$1004,"COMPRA"))</f>
        <v/>
      </c>
      <c r="D55" s="28" t="str">
        <f>IF(A55="","",SUMIFS(Transacciones!$E$5:$E$1004,Transacciones!$B$5:$B$1004,A55,Transacciones!$D$5:$D$1004,"VENTA"))</f>
        <v/>
      </c>
      <c r="E55" s="28" t="str">
        <f>IF(A55="","",SUMIF(Referidos!$C$5:$C$204,A55,Referidos!$D$5:$D$204))</f>
        <v/>
      </c>
      <c r="F55" s="28" t="str">
        <f t="shared" si="10"/>
        <v/>
      </c>
      <c r="G55" s="18" t="str">
        <f>IF(A55="","",SUMIFS(Transacciones!$G$5:$G$1004,Transacciones!$B$5:$B$1004,A55,Transacciones!$D$5:$D$1004,"COMPRA"))</f>
        <v/>
      </c>
      <c r="H55" s="18" t="str">
        <f>IF(A55="","",SUMIFS(Transacciones!$H$5:$H$1004,Transacciones!$B$5:$B$1004,A55,Transacciones!$D$5:$D$1004,"COMPRA"))</f>
        <v/>
      </c>
      <c r="I55" s="18" t="str">
        <f>IF(A55="","",SUMIFS(Transacciones!$I$5:$I$1004,Transacciones!$B$5:$B$1004,A55,Transacciones!$D$5:$D$1004,"VENTA"))</f>
        <v/>
      </c>
      <c r="J55" s="18" t="str">
        <f t="shared" si="11"/>
        <v/>
      </c>
      <c r="K55" s="18">
        <f t="shared" si="12"/>
        <v>0</v>
      </c>
      <c r="L55" s="7" t="str">
        <f>IF(A55="","",IFERROR(LOOKUP(2,1/(Precios!$B$5:$B$2004=A55),Precios!$A$5:$A$2004),""))</f>
        <v/>
      </c>
      <c r="M55" s="13" t="str">
        <f>IF(A55="","",IFERROR(LOOKUP(2,1/(Precios!$B$5:$B$2004=A55),Precios!$C$5:$C$2004),0))</f>
        <v/>
      </c>
      <c r="N55" s="18" t="str">
        <f t="shared" si="13"/>
        <v/>
      </c>
      <c r="O55" s="18" t="str">
        <f t="shared" si="14"/>
        <v/>
      </c>
      <c r="P55" s="18" t="str">
        <f t="shared" si="15"/>
        <v/>
      </c>
      <c r="Q55" s="18" t="str">
        <f t="shared" si="16"/>
        <v/>
      </c>
      <c r="R55" s="29">
        <f t="shared" si="17"/>
        <v>0</v>
      </c>
      <c r="S55" s="29">
        <f t="shared" si="18"/>
        <v>0</v>
      </c>
      <c r="T55" s="30" t="str">
        <f>IF(A55="","",Activos!E55)</f>
        <v/>
      </c>
      <c r="U55" s="29" t="str">
        <f t="shared" si="19"/>
        <v/>
      </c>
    </row>
    <row r="56" spans="1:21" x14ac:dyDescent="0.3">
      <c r="A56" s="10" t="str">
        <f>IF(Activos!A56="","",Activos!A56)</f>
        <v/>
      </c>
      <c r="B56" s="10" t="str">
        <f>IF(A56="","",Activos!C56)</f>
        <v/>
      </c>
      <c r="C56" s="28" t="str">
        <f>IF(A56="","",SUMIFS(Transacciones!$E$5:$E$1004,Transacciones!$B$5:$B$1004,A56,Transacciones!$D$5:$D$1004,"COMPRA"))</f>
        <v/>
      </c>
      <c r="D56" s="28" t="str">
        <f>IF(A56="","",SUMIFS(Transacciones!$E$5:$E$1004,Transacciones!$B$5:$B$1004,A56,Transacciones!$D$5:$D$1004,"VENTA"))</f>
        <v/>
      </c>
      <c r="E56" s="28" t="str">
        <f>IF(A56="","",SUMIF(Referidos!$C$5:$C$204,A56,Referidos!$D$5:$D$204))</f>
        <v/>
      </c>
      <c r="F56" s="28" t="str">
        <f t="shared" si="10"/>
        <v/>
      </c>
      <c r="G56" s="18" t="str">
        <f>IF(A56="","",SUMIFS(Transacciones!$G$5:$G$1004,Transacciones!$B$5:$B$1004,A56,Transacciones!$D$5:$D$1004,"COMPRA"))</f>
        <v/>
      </c>
      <c r="H56" s="18" t="str">
        <f>IF(A56="","",SUMIFS(Transacciones!$H$5:$H$1004,Transacciones!$B$5:$B$1004,A56,Transacciones!$D$5:$D$1004,"COMPRA"))</f>
        <v/>
      </c>
      <c r="I56" s="18" t="str">
        <f>IF(A56="","",SUMIFS(Transacciones!$I$5:$I$1004,Transacciones!$B$5:$B$1004,A56,Transacciones!$D$5:$D$1004,"VENTA"))</f>
        <v/>
      </c>
      <c r="J56" s="18" t="str">
        <f t="shared" si="11"/>
        <v/>
      </c>
      <c r="K56" s="18">
        <f t="shared" si="12"/>
        <v>0</v>
      </c>
      <c r="L56" s="7" t="str">
        <f>IF(A56="","",IFERROR(LOOKUP(2,1/(Precios!$B$5:$B$2004=A56),Precios!$A$5:$A$2004),""))</f>
        <v/>
      </c>
      <c r="M56" s="13" t="str">
        <f>IF(A56="","",IFERROR(LOOKUP(2,1/(Precios!$B$5:$B$2004=A56),Precios!$C$5:$C$2004),0))</f>
        <v/>
      </c>
      <c r="N56" s="18" t="str">
        <f t="shared" si="13"/>
        <v/>
      </c>
      <c r="O56" s="18" t="str">
        <f t="shared" si="14"/>
        <v/>
      </c>
      <c r="P56" s="18" t="str">
        <f t="shared" si="15"/>
        <v/>
      </c>
      <c r="Q56" s="18" t="str">
        <f t="shared" si="16"/>
        <v/>
      </c>
      <c r="R56" s="29">
        <f t="shared" si="17"/>
        <v>0</v>
      </c>
      <c r="S56" s="29">
        <f t="shared" si="18"/>
        <v>0</v>
      </c>
      <c r="T56" s="30" t="str">
        <f>IF(A56="","",Activos!E56)</f>
        <v/>
      </c>
      <c r="U56" s="29" t="str">
        <f t="shared" si="19"/>
        <v/>
      </c>
    </row>
    <row r="57" spans="1:21" x14ac:dyDescent="0.3">
      <c r="A57" s="10" t="str">
        <f>IF(Activos!A57="","",Activos!A57)</f>
        <v/>
      </c>
      <c r="B57" s="10" t="str">
        <f>IF(A57="","",Activos!C57)</f>
        <v/>
      </c>
      <c r="C57" s="28" t="str">
        <f>IF(A57="","",SUMIFS(Transacciones!$E$5:$E$1004,Transacciones!$B$5:$B$1004,A57,Transacciones!$D$5:$D$1004,"COMPRA"))</f>
        <v/>
      </c>
      <c r="D57" s="28" t="str">
        <f>IF(A57="","",SUMIFS(Transacciones!$E$5:$E$1004,Transacciones!$B$5:$B$1004,A57,Transacciones!$D$5:$D$1004,"VENTA"))</f>
        <v/>
      </c>
      <c r="E57" s="28" t="str">
        <f>IF(A57="","",SUMIF(Referidos!$C$5:$C$204,A57,Referidos!$D$5:$D$204))</f>
        <v/>
      </c>
      <c r="F57" s="28" t="str">
        <f t="shared" si="10"/>
        <v/>
      </c>
      <c r="G57" s="18" t="str">
        <f>IF(A57="","",SUMIFS(Transacciones!$G$5:$G$1004,Transacciones!$B$5:$B$1004,A57,Transacciones!$D$5:$D$1004,"COMPRA"))</f>
        <v/>
      </c>
      <c r="H57" s="18" t="str">
        <f>IF(A57="","",SUMIFS(Transacciones!$H$5:$H$1004,Transacciones!$B$5:$B$1004,A57,Transacciones!$D$5:$D$1004,"COMPRA"))</f>
        <v/>
      </c>
      <c r="I57" s="18" t="str">
        <f>IF(A57="","",SUMIFS(Transacciones!$I$5:$I$1004,Transacciones!$B$5:$B$1004,A57,Transacciones!$D$5:$D$1004,"VENTA"))</f>
        <v/>
      </c>
      <c r="J57" s="18" t="str">
        <f t="shared" si="11"/>
        <v/>
      </c>
      <c r="K57" s="18">
        <f t="shared" si="12"/>
        <v>0</v>
      </c>
      <c r="L57" s="7" t="str">
        <f>IF(A57="","",IFERROR(LOOKUP(2,1/(Precios!$B$5:$B$2004=A57),Precios!$A$5:$A$2004),""))</f>
        <v/>
      </c>
      <c r="M57" s="13" t="str">
        <f>IF(A57="","",IFERROR(LOOKUP(2,1/(Precios!$B$5:$B$2004=A57),Precios!$C$5:$C$2004),0))</f>
        <v/>
      </c>
      <c r="N57" s="18" t="str">
        <f t="shared" si="13"/>
        <v/>
      </c>
      <c r="O57" s="18" t="str">
        <f t="shared" si="14"/>
        <v/>
      </c>
      <c r="P57" s="18" t="str">
        <f t="shared" si="15"/>
        <v/>
      </c>
      <c r="Q57" s="18" t="str">
        <f t="shared" si="16"/>
        <v/>
      </c>
      <c r="R57" s="29">
        <f t="shared" si="17"/>
        <v>0</v>
      </c>
      <c r="S57" s="29">
        <f t="shared" si="18"/>
        <v>0</v>
      </c>
      <c r="T57" s="30" t="str">
        <f>IF(A57="","",Activos!E57)</f>
        <v/>
      </c>
      <c r="U57" s="29" t="str">
        <f t="shared" si="19"/>
        <v/>
      </c>
    </row>
    <row r="58" spans="1:21" x14ac:dyDescent="0.3">
      <c r="A58" s="10" t="str">
        <f>IF(Activos!A58="","",Activos!A58)</f>
        <v/>
      </c>
      <c r="B58" s="10" t="str">
        <f>IF(A58="","",Activos!C58)</f>
        <v/>
      </c>
      <c r="C58" s="28" t="str">
        <f>IF(A58="","",SUMIFS(Transacciones!$E$5:$E$1004,Transacciones!$B$5:$B$1004,A58,Transacciones!$D$5:$D$1004,"COMPRA"))</f>
        <v/>
      </c>
      <c r="D58" s="28" t="str">
        <f>IF(A58="","",SUMIFS(Transacciones!$E$5:$E$1004,Transacciones!$B$5:$B$1004,A58,Transacciones!$D$5:$D$1004,"VENTA"))</f>
        <v/>
      </c>
      <c r="E58" s="28" t="str">
        <f>IF(A58="","",SUMIF(Referidos!$C$5:$C$204,A58,Referidos!$D$5:$D$204))</f>
        <v/>
      </c>
      <c r="F58" s="28" t="str">
        <f t="shared" si="10"/>
        <v/>
      </c>
      <c r="G58" s="18" t="str">
        <f>IF(A58="","",SUMIFS(Transacciones!$G$5:$G$1004,Transacciones!$B$5:$B$1004,A58,Transacciones!$D$5:$D$1004,"COMPRA"))</f>
        <v/>
      </c>
      <c r="H58" s="18" t="str">
        <f>IF(A58="","",SUMIFS(Transacciones!$H$5:$H$1004,Transacciones!$B$5:$B$1004,A58,Transacciones!$D$5:$D$1004,"COMPRA"))</f>
        <v/>
      </c>
      <c r="I58" s="18" t="str">
        <f>IF(A58="","",SUMIFS(Transacciones!$I$5:$I$1004,Transacciones!$B$5:$B$1004,A58,Transacciones!$D$5:$D$1004,"VENTA"))</f>
        <v/>
      </c>
      <c r="J58" s="18" t="str">
        <f t="shared" si="11"/>
        <v/>
      </c>
      <c r="K58" s="18">
        <f t="shared" si="12"/>
        <v>0</v>
      </c>
      <c r="L58" s="7" t="str">
        <f>IF(A58="","",IFERROR(LOOKUP(2,1/(Precios!$B$5:$B$2004=A58),Precios!$A$5:$A$2004),""))</f>
        <v/>
      </c>
      <c r="M58" s="13" t="str">
        <f>IF(A58="","",IFERROR(LOOKUP(2,1/(Precios!$B$5:$B$2004=A58),Precios!$C$5:$C$2004),0))</f>
        <v/>
      </c>
      <c r="N58" s="18" t="str">
        <f t="shared" si="13"/>
        <v/>
      </c>
      <c r="O58" s="18" t="str">
        <f t="shared" si="14"/>
        <v/>
      </c>
      <c r="P58" s="18" t="str">
        <f t="shared" si="15"/>
        <v/>
      </c>
      <c r="Q58" s="18" t="str">
        <f t="shared" si="16"/>
        <v/>
      </c>
      <c r="R58" s="29">
        <f t="shared" si="17"/>
        <v>0</v>
      </c>
      <c r="S58" s="29">
        <f t="shared" si="18"/>
        <v>0</v>
      </c>
      <c r="T58" s="30" t="str">
        <f>IF(A58="","",Activos!E58)</f>
        <v/>
      </c>
      <c r="U58" s="29" t="str">
        <f t="shared" si="19"/>
        <v/>
      </c>
    </row>
    <row r="59" spans="1:21" x14ac:dyDescent="0.3">
      <c r="A59" s="10" t="str">
        <f>IF(Activos!A59="","",Activos!A59)</f>
        <v/>
      </c>
      <c r="B59" s="10" t="str">
        <f>IF(A59="","",Activos!C59)</f>
        <v/>
      </c>
      <c r="C59" s="28" t="str">
        <f>IF(A59="","",SUMIFS(Transacciones!$E$5:$E$1004,Transacciones!$B$5:$B$1004,A59,Transacciones!$D$5:$D$1004,"COMPRA"))</f>
        <v/>
      </c>
      <c r="D59" s="28" t="str">
        <f>IF(A59="","",SUMIFS(Transacciones!$E$5:$E$1004,Transacciones!$B$5:$B$1004,A59,Transacciones!$D$5:$D$1004,"VENTA"))</f>
        <v/>
      </c>
      <c r="E59" s="28" t="str">
        <f>IF(A59="","",SUMIF(Referidos!$C$5:$C$204,A59,Referidos!$D$5:$D$204))</f>
        <v/>
      </c>
      <c r="F59" s="28" t="str">
        <f t="shared" si="10"/>
        <v/>
      </c>
      <c r="G59" s="18" t="str">
        <f>IF(A59="","",SUMIFS(Transacciones!$G$5:$G$1004,Transacciones!$B$5:$B$1004,A59,Transacciones!$D$5:$D$1004,"COMPRA"))</f>
        <v/>
      </c>
      <c r="H59" s="18" t="str">
        <f>IF(A59="","",SUMIFS(Transacciones!$H$5:$H$1004,Transacciones!$B$5:$B$1004,A59,Transacciones!$D$5:$D$1004,"COMPRA"))</f>
        <v/>
      </c>
      <c r="I59" s="18" t="str">
        <f>IF(A59="","",SUMIFS(Transacciones!$I$5:$I$1004,Transacciones!$B$5:$B$1004,A59,Transacciones!$D$5:$D$1004,"VENTA"))</f>
        <v/>
      </c>
      <c r="J59" s="18" t="str">
        <f t="shared" si="11"/>
        <v/>
      </c>
      <c r="K59" s="18">
        <f t="shared" si="12"/>
        <v>0</v>
      </c>
      <c r="L59" s="7" t="str">
        <f>IF(A59="","",IFERROR(LOOKUP(2,1/(Precios!$B$5:$B$2004=A59),Precios!$A$5:$A$2004),""))</f>
        <v/>
      </c>
      <c r="M59" s="13" t="str">
        <f>IF(A59="","",IFERROR(LOOKUP(2,1/(Precios!$B$5:$B$2004=A59),Precios!$C$5:$C$2004),0))</f>
        <v/>
      </c>
      <c r="N59" s="18" t="str">
        <f t="shared" si="13"/>
        <v/>
      </c>
      <c r="O59" s="18" t="str">
        <f t="shared" si="14"/>
        <v/>
      </c>
      <c r="P59" s="18" t="str">
        <f t="shared" si="15"/>
        <v/>
      </c>
      <c r="Q59" s="18" t="str">
        <f t="shared" si="16"/>
        <v/>
      </c>
      <c r="R59" s="29">
        <f t="shared" si="17"/>
        <v>0</v>
      </c>
      <c r="S59" s="29">
        <f t="shared" si="18"/>
        <v>0</v>
      </c>
      <c r="T59" s="30" t="str">
        <f>IF(A59="","",Activos!E59)</f>
        <v/>
      </c>
      <c r="U59" s="29" t="str">
        <f t="shared" si="19"/>
        <v/>
      </c>
    </row>
    <row r="60" spans="1:21" x14ac:dyDescent="0.3">
      <c r="A60" s="10" t="str">
        <f>IF(Activos!A60="","",Activos!A60)</f>
        <v/>
      </c>
      <c r="B60" s="10" t="str">
        <f>IF(A60="","",Activos!C60)</f>
        <v/>
      </c>
      <c r="C60" s="28" t="str">
        <f>IF(A60="","",SUMIFS(Transacciones!$E$5:$E$1004,Transacciones!$B$5:$B$1004,A60,Transacciones!$D$5:$D$1004,"COMPRA"))</f>
        <v/>
      </c>
      <c r="D60" s="28" t="str">
        <f>IF(A60="","",SUMIFS(Transacciones!$E$5:$E$1004,Transacciones!$B$5:$B$1004,A60,Transacciones!$D$5:$D$1004,"VENTA"))</f>
        <v/>
      </c>
      <c r="E60" s="28" t="str">
        <f>IF(A60="","",SUMIF(Referidos!$C$5:$C$204,A60,Referidos!$D$5:$D$204))</f>
        <v/>
      </c>
      <c r="F60" s="28" t="str">
        <f t="shared" si="10"/>
        <v/>
      </c>
      <c r="G60" s="18" t="str">
        <f>IF(A60="","",SUMIFS(Transacciones!$G$5:$G$1004,Transacciones!$B$5:$B$1004,A60,Transacciones!$D$5:$D$1004,"COMPRA"))</f>
        <v/>
      </c>
      <c r="H60" s="18" t="str">
        <f>IF(A60="","",SUMIFS(Transacciones!$H$5:$H$1004,Transacciones!$B$5:$B$1004,A60,Transacciones!$D$5:$D$1004,"COMPRA"))</f>
        <v/>
      </c>
      <c r="I60" s="18" t="str">
        <f>IF(A60="","",SUMIFS(Transacciones!$I$5:$I$1004,Transacciones!$B$5:$B$1004,A60,Transacciones!$D$5:$D$1004,"VENTA"))</f>
        <v/>
      </c>
      <c r="J60" s="18" t="str">
        <f t="shared" si="11"/>
        <v/>
      </c>
      <c r="K60" s="18">
        <f t="shared" si="12"/>
        <v>0</v>
      </c>
      <c r="L60" s="7" t="str">
        <f>IF(A60="","",IFERROR(LOOKUP(2,1/(Precios!$B$5:$B$2004=A60),Precios!$A$5:$A$2004),""))</f>
        <v/>
      </c>
      <c r="M60" s="13" t="str">
        <f>IF(A60="","",IFERROR(LOOKUP(2,1/(Precios!$B$5:$B$2004=A60),Precios!$C$5:$C$2004),0))</f>
        <v/>
      </c>
      <c r="N60" s="18" t="str">
        <f t="shared" si="13"/>
        <v/>
      </c>
      <c r="O60" s="18" t="str">
        <f t="shared" si="14"/>
        <v/>
      </c>
      <c r="P60" s="18" t="str">
        <f t="shared" si="15"/>
        <v/>
      </c>
      <c r="Q60" s="18" t="str">
        <f t="shared" si="16"/>
        <v/>
      </c>
      <c r="R60" s="29">
        <f t="shared" si="17"/>
        <v>0</v>
      </c>
      <c r="S60" s="29">
        <f t="shared" si="18"/>
        <v>0</v>
      </c>
      <c r="T60" s="30" t="str">
        <f>IF(A60="","",Activos!E60)</f>
        <v/>
      </c>
      <c r="U60" s="29" t="str">
        <f t="shared" si="19"/>
        <v/>
      </c>
    </row>
    <row r="61" spans="1:21" x14ac:dyDescent="0.3">
      <c r="A61" s="10" t="str">
        <f>IF(Activos!A61="","",Activos!A61)</f>
        <v/>
      </c>
      <c r="B61" s="10" t="str">
        <f>IF(A61="","",Activos!C61)</f>
        <v/>
      </c>
      <c r="C61" s="28" t="str">
        <f>IF(A61="","",SUMIFS(Transacciones!$E$5:$E$1004,Transacciones!$B$5:$B$1004,A61,Transacciones!$D$5:$D$1004,"COMPRA"))</f>
        <v/>
      </c>
      <c r="D61" s="28" t="str">
        <f>IF(A61="","",SUMIFS(Transacciones!$E$5:$E$1004,Transacciones!$B$5:$B$1004,A61,Transacciones!$D$5:$D$1004,"VENTA"))</f>
        <v/>
      </c>
      <c r="E61" s="28" t="str">
        <f>IF(A61="","",SUMIF(Referidos!$C$5:$C$204,A61,Referidos!$D$5:$D$204))</f>
        <v/>
      </c>
      <c r="F61" s="28" t="str">
        <f t="shared" si="10"/>
        <v/>
      </c>
      <c r="G61" s="18" t="str">
        <f>IF(A61="","",SUMIFS(Transacciones!$G$5:$G$1004,Transacciones!$B$5:$B$1004,A61,Transacciones!$D$5:$D$1004,"COMPRA"))</f>
        <v/>
      </c>
      <c r="H61" s="18" t="str">
        <f>IF(A61="","",SUMIFS(Transacciones!$H$5:$H$1004,Transacciones!$B$5:$B$1004,A61,Transacciones!$D$5:$D$1004,"COMPRA"))</f>
        <v/>
      </c>
      <c r="I61" s="18" t="str">
        <f>IF(A61="","",SUMIFS(Transacciones!$I$5:$I$1004,Transacciones!$B$5:$B$1004,A61,Transacciones!$D$5:$D$1004,"VENTA"))</f>
        <v/>
      </c>
      <c r="J61" s="18" t="str">
        <f t="shared" si="11"/>
        <v/>
      </c>
      <c r="K61" s="18">
        <f t="shared" si="12"/>
        <v>0</v>
      </c>
      <c r="L61" s="7" t="str">
        <f>IF(A61="","",IFERROR(LOOKUP(2,1/(Precios!$B$5:$B$2004=A61),Precios!$A$5:$A$2004),""))</f>
        <v/>
      </c>
      <c r="M61" s="13" t="str">
        <f>IF(A61="","",IFERROR(LOOKUP(2,1/(Precios!$B$5:$B$2004=A61),Precios!$C$5:$C$2004),0))</f>
        <v/>
      </c>
      <c r="N61" s="18" t="str">
        <f t="shared" si="13"/>
        <v/>
      </c>
      <c r="O61" s="18" t="str">
        <f t="shared" si="14"/>
        <v/>
      </c>
      <c r="P61" s="18" t="str">
        <f t="shared" si="15"/>
        <v/>
      </c>
      <c r="Q61" s="18" t="str">
        <f t="shared" si="16"/>
        <v/>
      </c>
      <c r="R61" s="29">
        <f t="shared" si="17"/>
        <v>0</v>
      </c>
      <c r="S61" s="29">
        <f t="shared" si="18"/>
        <v>0</v>
      </c>
      <c r="T61" s="30" t="str">
        <f>IF(A61="","",Activos!E61)</f>
        <v/>
      </c>
      <c r="U61" s="29" t="str">
        <f t="shared" si="19"/>
        <v/>
      </c>
    </row>
    <row r="62" spans="1:21" x14ac:dyDescent="0.3">
      <c r="A62" s="10" t="str">
        <f>IF(Activos!A62="","",Activos!A62)</f>
        <v/>
      </c>
      <c r="B62" s="10" t="str">
        <f>IF(A62="","",Activos!C62)</f>
        <v/>
      </c>
      <c r="C62" s="28" t="str">
        <f>IF(A62="","",SUMIFS(Transacciones!$E$5:$E$1004,Transacciones!$B$5:$B$1004,A62,Transacciones!$D$5:$D$1004,"COMPRA"))</f>
        <v/>
      </c>
      <c r="D62" s="28" t="str">
        <f>IF(A62="","",SUMIFS(Transacciones!$E$5:$E$1004,Transacciones!$B$5:$B$1004,A62,Transacciones!$D$5:$D$1004,"VENTA"))</f>
        <v/>
      </c>
      <c r="E62" s="28" t="str">
        <f>IF(A62="","",SUMIF(Referidos!$C$5:$C$204,A62,Referidos!$D$5:$D$204))</f>
        <v/>
      </c>
      <c r="F62" s="28" t="str">
        <f t="shared" si="10"/>
        <v/>
      </c>
      <c r="G62" s="18" t="str">
        <f>IF(A62="","",SUMIFS(Transacciones!$G$5:$G$1004,Transacciones!$B$5:$B$1004,A62,Transacciones!$D$5:$D$1004,"COMPRA"))</f>
        <v/>
      </c>
      <c r="H62" s="18" t="str">
        <f>IF(A62="","",SUMIFS(Transacciones!$H$5:$H$1004,Transacciones!$B$5:$B$1004,A62,Transacciones!$D$5:$D$1004,"COMPRA"))</f>
        <v/>
      </c>
      <c r="I62" s="18" t="str">
        <f>IF(A62="","",SUMIFS(Transacciones!$I$5:$I$1004,Transacciones!$B$5:$B$1004,A62,Transacciones!$D$5:$D$1004,"VENTA"))</f>
        <v/>
      </c>
      <c r="J62" s="18" t="str">
        <f t="shared" si="11"/>
        <v/>
      </c>
      <c r="K62" s="18">
        <f t="shared" si="12"/>
        <v>0</v>
      </c>
      <c r="L62" s="7" t="str">
        <f>IF(A62="","",IFERROR(LOOKUP(2,1/(Precios!$B$5:$B$2004=A62),Precios!$A$5:$A$2004),""))</f>
        <v/>
      </c>
      <c r="M62" s="13" t="str">
        <f>IF(A62="","",IFERROR(LOOKUP(2,1/(Precios!$B$5:$B$2004=A62),Precios!$C$5:$C$2004),0))</f>
        <v/>
      </c>
      <c r="N62" s="18" t="str">
        <f t="shared" si="13"/>
        <v/>
      </c>
      <c r="O62" s="18" t="str">
        <f t="shared" si="14"/>
        <v/>
      </c>
      <c r="P62" s="18" t="str">
        <f t="shared" si="15"/>
        <v/>
      </c>
      <c r="Q62" s="18" t="str">
        <f t="shared" si="16"/>
        <v/>
      </c>
      <c r="R62" s="29">
        <f t="shared" si="17"/>
        <v>0</v>
      </c>
      <c r="S62" s="29">
        <f t="shared" si="18"/>
        <v>0</v>
      </c>
      <c r="T62" s="30" t="str">
        <f>IF(A62="","",Activos!E62)</f>
        <v/>
      </c>
      <c r="U62" s="29" t="str">
        <f t="shared" si="19"/>
        <v/>
      </c>
    </row>
    <row r="63" spans="1:21" x14ac:dyDescent="0.3">
      <c r="A63" s="10" t="str">
        <f>IF(Activos!A63="","",Activos!A63)</f>
        <v/>
      </c>
      <c r="B63" s="10" t="str">
        <f>IF(A63="","",Activos!C63)</f>
        <v/>
      </c>
      <c r="C63" s="28" t="str">
        <f>IF(A63="","",SUMIFS(Transacciones!$E$5:$E$1004,Transacciones!$B$5:$B$1004,A63,Transacciones!$D$5:$D$1004,"COMPRA"))</f>
        <v/>
      </c>
      <c r="D63" s="28" t="str">
        <f>IF(A63="","",SUMIFS(Transacciones!$E$5:$E$1004,Transacciones!$B$5:$B$1004,A63,Transacciones!$D$5:$D$1004,"VENTA"))</f>
        <v/>
      </c>
      <c r="E63" s="28" t="str">
        <f>IF(A63="","",SUMIF(Referidos!$C$5:$C$204,A63,Referidos!$D$5:$D$204))</f>
        <v/>
      </c>
      <c r="F63" s="28" t="str">
        <f t="shared" si="10"/>
        <v/>
      </c>
      <c r="G63" s="18" t="str">
        <f>IF(A63="","",SUMIFS(Transacciones!$G$5:$G$1004,Transacciones!$B$5:$B$1004,A63,Transacciones!$D$5:$D$1004,"COMPRA"))</f>
        <v/>
      </c>
      <c r="H63" s="18" t="str">
        <f>IF(A63="","",SUMIFS(Transacciones!$H$5:$H$1004,Transacciones!$B$5:$B$1004,A63,Transacciones!$D$5:$D$1004,"COMPRA"))</f>
        <v/>
      </c>
      <c r="I63" s="18" t="str">
        <f>IF(A63="","",SUMIFS(Transacciones!$I$5:$I$1004,Transacciones!$B$5:$B$1004,A63,Transacciones!$D$5:$D$1004,"VENTA"))</f>
        <v/>
      </c>
      <c r="J63" s="18" t="str">
        <f t="shared" si="11"/>
        <v/>
      </c>
      <c r="K63" s="18">
        <f t="shared" si="12"/>
        <v>0</v>
      </c>
      <c r="L63" s="7" t="str">
        <f>IF(A63="","",IFERROR(LOOKUP(2,1/(Precios!$B$5:$B$2004=A63),Precios!$A$5:$A$2004),""))</f>
        <v/>
      </c>
      <c r="M63" s="13" t="str">
        <f>IF(A63="","",IFERROR(LOOKUP(2,1/(Precios!$B$5:$B$2004=A63),Precios!$C$5:$C$2004),0))</f>
        <v/>
      </c>
      <c r="N63" s="18" t="str">
        <f t="shared" si="13"/>
        <v/>
      </c>
      <c r="O63" s="18" t="str">
        <f t="shared" si="14"/>
        <v/>
      </c>
      <c r="P63" s="18" t="str">
        <f t="shared" si="15"/>
        <v/>
      </c>
      <c r="Q63" s="18" t="str">
        <f t="shared" si="16"/>
        <v/>
      </c>
      <c r="R63" s="29">
        <f t="shared" si="17"/>
        <v>0</v>
      </c>
      <c r="S63" s="29">
        <f t="shared" si="18"/>
        <v>0</v>
      </c>
      <c r="T63" s="30" t="str">
        <f>IF(A63="","",Activos!E63)</f>
        <v/>
      </c>
      <c r="U63" s="29" t="str">
        <f t="shared" si="19"/>
        <v/>
      </c>
    </row>
    <row r="64" spans="1:21" x14ac:dyDescent="0.3">
      <c r="A64" s="10" t="str">
        <f>IF(Activos!A64="","",Activos!A64)</f>
        <v/>
      </c>
      <c r="B64" s="10" t="str">
        <f>IF(A64="","",Activos!C64)</f>
        <v/>
      </c>
      <c r="C64" s="28" t="str">
        <f>IF(A64="","",SUMIFS(Transacciones!$E$5:$E$1004,Transacciones!$B$5:$B$1004,A64,Transacciones!$D$5:$D$1004,"COMPRA"))</f>
        <v/>
      </c>
      <c r="D64" s="28" t="str">
        <f>IF(A64="","",SUMIFS(Transacciones!$E$5:$E$1004,Transacciones!$B$5:$B$1004,A64,Transacciones!$D$5:$D$1004,"VENTA"))</f>
        <v/>
      </c>
      <c r="E64" s="28" t="str">
        <f>IF(A64="","",SUMIF(Referidos!$C$5:$C$204,A64,Referidos!$D$5:$D$204))</f>
        <v/>
      </c>
      <c r="F64" s="28" t="str">
        <f t="shared" si="10"/>
        <v/>
      </c>
      <c r="G64" s="18" t="str">
        <f>IF(A64="","",SUMIFS(Transacciones!$G$5:$G$1004,Transacciones!$B$5:$B$1004,A64,Transacciones!$D$5:$D$1004,"COMPRA"))</f>
        <v/>
      </c>
      <c r="H64" s="18" t="str">
        <f>IF(A64="","",SUMIFS(Transacciones!$H$5:$H$1004,Transacciones!$B$5:$B$1004,A64,Transacciones!$D$5:$D$1004,"COMPRA"))</f>
        <v/>
      </c>
      <c r="I64" s="18" t="str">
        <f>IF(A64="","",SUMIFS(Transacciones!$I$5:$I$1004,Transacciones!$B$5:$B$1004,A64,Transacciones!$D$5:$D$1004,"VENTA"))</f>
        <v/>
      </c>
      <c r="J64" s="18" t="str">
        <f t="shared" si="11"/>
        <v/>
      </c>
      <c r="K64" s="18">
        <f t="shared" si="12"/>
        <v>0</v>
      </c>
      <c r="L64" s="7" t="str">
        <f>IF(A64="","",IFERROR(LOOKUP(2,1/(Precios!$B$5:$B$2004=A64),Precios!$A$5:$A$2004),""))</f>
        <v/>
      </c>
      <c r="M64" s="13" t="str">
        <f>IF(A64="","",IFERROR(LOOKUP(2,1/(Precios!$B$5:$B$2004=A64),Precios!$C$5:$C$2004),0))</f>
        <v/>
      </c>
      <c r="N64" s="18" t="str">
        <f t="shared" si="13"/>
        <v/>
      </c>
      <c r="O64" s="18" t="str">
        <f t="shared" si="14"/>
        <v/>
      </c>
      <c r="P64" s="18" t="str">
        <f t="shared" si="15"/>
        <v/>
      </c>
      <c r="Q64" s="18" t="str">
        <f t="shared" si="16"/>
        <v/>
      </c>
      <c r="R64" s="29">
        <f t="shared" si="17"/>
        <v>0</v>
      </c>
      <c r="S64" s="29">
        <f t="shared" si="18"/>
        <v>0</v>
      </c>
      <c r="T64" s="30" t="str">
        <f>IF(A64="","",Activos!E64)</f>
        <v/>
      </c>
      <c r="U64" s="29" t="str">
        <f t="shared" si="19"/>
        <v/>
      </c>
    </row>
    <row r="65" spans="1:21" x14ac:dyDescent="0.3">
      <c r="A65" s="10" t="str">
        <f>IF(Activos!A65="","",Activos!A65)</f>
        <v/>
      </c>
      <c r="B65" s="10" t="str">
        <f>IF(A65="","",Activos!C65)</f>
        <v/>
      </c>
      <c r="C65" s="28" t="str">
        <f>IF(A65="","",SUMIFS(Transacciones!$E$5:$E$1004,Transacciones!$B$5:$B$1004,A65,Transacciones!$D$5:$D$1004,"COMPRA"))</f>
        <v/>
      </c>
      <c r="D65" s="28" t="str">
        <f>IF(A65="","",SUMIFS(Transacciones!$E$5:$E$1004,Transacciones!$B$5:$B$1004,A65,Transacciones!$D$5:$D$1004,"VENTA"))</f>
        <v/>
      </c>
      <c r="E65" s="28" t="str">
        <f>IF(A65="","",SUMIF(Referidos!$C$5:$C$204,A65,Referidos!$D$5:$D$204))</f>
        <v/>
      </c>
      <c r="F65" s="28" t="str">
        <f t="shared" si="10"/>
        <v/>
      </c>
      <c r="G65" s="18" t="str">
        <f>IF(A65="","",SUMIFS(Transacciones!$G$5:$G$1004,Transacciones!$B$5:$B$1004,A65,Transacciones!$D$5:$D$1004,"COMPRA"))</f>
        <v/>
      </c>
      <c r="H65" s="18" t="str">
        <f>IF(A65="","",SUMIFS(Transacciones!$H$5:$H$1004,Transacciones!$B$5:$B$1004,A65,Transacciones!$D$5:$D$1004,"COMPRA"))</f>
        <v/>
      </c>
      <c r="I65" s="18" t="str">
        <f>IF(A65="","",SUMIFS(Transacciones!$I$5:$I$1004,Transacciones!$B$5:$B$1004,A65,Transacciones!$D$5:$D$1004,"VENTA"))</f>
        <v/>
      </c>
      <c r="J65" s="18" t="str">
        <f t="shared" si="11"/>
        <v/>
      </c>
      <c r="K65" s="18">
        <f t="shared" si="12"/>
        <v>0</v>
      </c>
      <c r="L65" s="7" t="str">
        <f>IF(A65="","",IFERROR(LOOKUP(2,1/(Precios!$B$5:$B$2004=A65),Precios!$A$5:$A$2004),""))</f>
        <v/>
      </c>
      <c r="M65" s="13" t="str">
        <f>IF(A65="","",IFERROR(LOOKUP(2,1/(Precios!$B$5:$B$2004=A65),Precios!$C$5:$C$2004),0))</f>
        <v/>
      </c>
      <c r="N65" s="18" t="str">
        <f t="shared" si="13"/>
        <v/>
      </c>
      <c r="O65" s="18" t="str">
        <f t="shared" si="14"/>
        <v/>
      </c>
      <c r="P65" s="18" t="str">
        <f t="shared" si="15"/>
        <v/>
      </c>
      <c r="Q65" s="18" t="str">
        <f t="shared" si="16"/>
        <v/>
      </c>
      <c r="R65" s="29">
        <f t="shared" si="17"/>
        <v>0</v>
      </c>
      <c r="S65" s="29">
        <f t="shared" si="18"/>
        <v>0</v>
      </c>
      <c r="T65" s="30" t="str">
        <f>IF(A65="","",Activos!E65)</f>
        <v/>
      </c>
      <c r="U65" s="29" t="str">
        <f t="shared" si="19"/>
        <v/>
      </c>
    </row>
    <row r="66" spans="1:21" x14ac:dyDescent="0.3">
      <c r="A66" s="10" t="str">
        <f>IF(Activos!A66="","",Activos!A66)</f>
        <v/>
      </c>
      <c r="B66" s="10" t="str">
        <f>IF(A66="","",Activos!C66)</f>
        <v/>
      </c>
      <c r="C66" s="28" t="str">
        <f>IF(A66="","",SUMIFS(Transacciones!$E$5:$E$1004,Transacciones!$B$5:$B$1004,A66,Transacciones!$D$5:$D$1004,"COMPRA"))</f>
        <v/>
      </c>
      <c r="D66" s="28" t="str">
        <f>IF(A66="","",SUMIFS(Transacciones!$E$5:$E$1004,Transacciones!$B$5:$B$1004,A66,Transacciones!$D$5:$D$1004,"VENTA"))</f>
        <v/>
      </c>
      <c r="E66" s="28" t="str">
        <f>IF(A66="","",SUMIF(Referidos!$C$5:$C$204,A66,Referidos!$D$5:$D$204))</f>
        <v/>
      </c>
      <c r="F66" s="28" t="str">
        <f t="shared" si="10"/>
        <v/>
      </c>
      <c r="G66" s="18" t="str">
        <f>IF(A66="","",SUMIFS(Transacciones!$G$5:$G$1004,Transacciones!$B$5:$B$1004,A66,Transacciones!$D$5:$D$1004,"COMPRA"))</f>
        <v/>
      </c>
      <c r="H66" s="18" t="str">
        <f>IF(A66="","",SUMIFS(Transacciones!$H$5:$H$1004,Transacciones!$B$5:$B$1004,A66,Transacciones!$D$5:$D$1004,"COMPRA"))</f>
        <v/>
      </c>
      <c r="I66" s="18" t="str">
        <f>IF(A66="","",SUMIFS(Transacciones!$I$5:$I$1004,Transacciones!$B$5:$B$1004,A66,Transacciones!$D$5:$D$1004,"VENTA"))</f>
        <v/>
      </c>
      <c r="J66" s="18" t="str">
        <f t="shared" si="11"/>
        <v/>
      </c>
      <c r="K66" s="18">
        <f t="shared" si="12"/>
        <v>0</v>
      </c>
      <c r="L66" s="7" t="str">
        <f>IF(A66="","",IFERROR(LOOKUP(2,1/(Precios!$B$5:$B$2004=A66),Precios!$A$5:$A$2004),""))</f>
        <v/>
      </c>
      <c r="M66" s="13" t="str">
        <f>IF(A66="","",IFERROR(LOOKUP(2,1/(Precios!$B$5:$B$2004=A66),Precios!$C$5:$C$2004),0))</f>
        <v/>
      </c>
      <c r="N66" s="18" t="str">
        <f t="shared" si="13"/>
        <v/>
      </c>
      <c r="O66" s="18" t="str">
        <f t="shared" si="14"/>
        <v/>
      </c>
      <c r="P66" s="18" t="str">
        <f t="shared" si="15"/>
        <v/>
      </c>
      <c r="Q66" s="18" t="str">
        <f t="shared" si="16"/>
        <v/>
      </c>
      <c r="R66" s="29">
        <f t="shared" si="17"/>
        <v>0</v>
      </c>
      <c r="S66" s="29">
        <f t="shared" si="18"/>
        <v>0</v>
      </c>
      <c r="T66" s="30" t="str">
        <f>IF(A66="","",Activos!E66)</f>
        <v/>
      </c>
      <c r="U66" s="29" t="str">
        <f t="shared" si="19"/>
        <v/>
      </c>
    </row>
    <row r="67" spans="1:21" x14ac:dyDescent="0.3">
      <c r="A67" s="10" t="str">
        <f>IF(Activos!A67="","",Activos!A67)</f>
        <v/>
      </c>
      <c r="B67" s="10" t="str">
        <f>IF(A67="","",Activos!C67)</f>
        <v/>
      </c>
      <c r="C67" s="28" t="str">
        <f>IF(A67="","",SUMIFS(Transacciones!$E$5:$E$1004,Transacciones!$B$5:$B$1004,A67,Transacciones!$D$5:$D$1004,"COMPRA"))</f>
        <v/>
      </c>
      <c r="D67" s="28" t="str">
        <f>IF(A67="","",SUMIFS(Transacciones!$E$5:$E$1004,Transacciones!$B$5:$B$1004,A67,Transacciones!$D$5:$D$1004,"VENTA"))</f>
        <v/>
      </c>
      <c r="E67" s="28" t="str">
        <f>IF(A67="","",SUMIF(Referidos!$C$5:$C$204,A67,Referidos!$D$5:$D$204))</f>
        <v/>
      </c>
      <c r="F67" s="28" t="str">
        <f t="shared" si="10"/>
        <v/>
      </c>
      <c r="G67" s="18" t="str">
        <f>IF(A67="","",SUMIFS(Transacciones!$G$5:$G$1004,Transacciones!$B$5:$B$1004,A67,Transacciones!$D$5:$D$1004,"COMPRA"))</f>
        <v/>
      </c>
      <c r="H67" s="18" t="str">
        <f>IF(A67="","",SUMIFS(Transacciones!$H$5:$H$1004,Transacciones!$B$5:$B$1004,A67,Transacciones!$D$5:$D$1004,"COMPRA"))</f>
        <v/>
      </c>
      <c r="I67" s="18" t="str">
        <f>IF(A67="","",SUMIFS(Transacciones!$I$5:$I$1004,Transacciones!$B$5:$B$1004,A67,Transacciones!$D$5:$D$1004,"VENTA"))</f>
        <v/>
      </c>
      <c r="J67" s="18" t="str">
        <f t="shared" si="11"/>
        <v/>
      </c>
      <c r="K67" s="18">
        <f t="shared" si="12"/>
        <v>0</v>
      </c>
      <c r="L67" s="7" t="str">
        <f>IF(A67="","",IFERROR(LOOKUP(2,1/(Precios!$B$5:$B$2004=A67),Precios!$A$5:$A$2004),""))</f>
        <v/>
      </c>
      <c r="M67" s="13" t="str">
        <f>IF(A67="","",IFERROR(LOOKUP(2,1/(Precios!$B$5:$B$2004=A67),Precios!$C$5:$C$2004),0))</f>
        <v/>
      </c>
      <c r="N67" s="18" t="str">
        <f t="shared" si="13"/>
        <v/>
      </c>
      <c r="O67" s="18" t="str">
        <f t="shared" si="14"/>
        <v/>
      </c>
      <c r="P67" s="18" t="str">
        <f t="shared" si="15"/>
        <v/>
      </c>
      <c r="Q67" s="18" t="str">
        <f t="shared" si="16"/>
        <v/>
      </c>
      <c r="R67" s="29">
        <f t="shared" si="17"/>
        <v>0</v>
      </c>
      <c r="S67" s="29">
        <f t="shared" si="18"/>
        <v>0</v>
      </c>
      <c r="T67" s="30" t="str">
        <f>IF(A67="","",Activos!E67)</f>
        <v/>
      </c>
      <c r="U67" s="29" t="str">
        <f t="shared" si="19"/>
        <v/>
      </c>
    </row>
    <row r="68" spans="1:21" x14ac:dyDescent="0.3">
      <c r="A68" s="10" t="str">
        <f>IF(Activos!A68="","",Activos!A68)</f>
        <v/>
      </c>
      <c r="B68" s="10" t="str">
        <f>IF(A68="","",Activos!C68)</f>
        <v/>
      </c>
      <c r="C68" s="28" t="str">
        <f>IF(A68="","",SUMIFS(Transacciones!$E$5:$E$1004,Transacciones!$B$5:$B$1004,A68,Transacciones!$D$5:$D$1004,"COMPRA"))</f>
        <v/>
      </c>
      <c r="D68" s="28" t="str">
        <f>IF(A68="","",SUMIFS(Transacciones!$E$5:$E$1004,Transacciones!$B$5:$B$1004,A68,Transacciones!$D$5:$D$1004,"VENTA"))</f>
        <v/>
      </c>
      <c r="E68" s="28" t="str">
        <f>IF(A68="","",SUMIF(Referidos!$C$5:$C$204,A68,Referidos!$D$5:$D$204))</f>
        <v/>
      </c>
      <c r="F68" s="28" t="str">
        <f t="shared" si="10"/>
        <v/>
      </c>
      <c r="G68" s="18" t="str">
        <f>IF(A68="","",SUMIFS(Transacciones!$G$5:$G$1004,Transacciones!$B$5:$B$1004,A68,Transacciones!$D$5:$D$1004,"COMPRA"))</f>
        <v/>
      </c>
      <c r="H68" s="18" t="str">
        <f>IF(A68="","",SUMIFS(Transacciones!$H$5:$H$1004,Transacciones!$B$5:$B$1004,A68,Transacciones!$D$5:$D$1004,"COMPRA"))</f>
        <v/>
      </c>
      <c r="I68" s="18" t="str">
        <f>IF(A68="","",SUMIFS(Transacciones!$I$5:$I$1004,Transacciones!$B$5:$B$1004,A68,Transacciones!$D$5:$D$1004,"VENTA"))</f>
        <v/>
      </c>
      <c r="J68" s="18" t="str">
        <f t="shared" si="11"/>
        <v/>
      </c>
      <c r="K68" s="18">
        <f t="shared" si="12"/>
        <v>0</v>
      </c>
      <c r="L68" s="7" t="str">
        <f>IF(A68="","",IFERROR(LOOKUP(2,1/(Precios!$B$5:$B$2004=A68),Precios!$A$5:$A$2004),""))</f>
        <v/>
      </c>
      <c r="M68" s="13" t="str">
        <f>IF(A68="","",IFERROR(LOOKUP(2,1/(Precios!$B$5:$B$2004=A68),Precios!$C$5:$C$2004),0))</f>
        <v/>
      </c>
      <c r="N68" s="18" t="str">
        <f t="shared" si="13"/>
        <v/>
      </c>
      <c r="O68" s="18" t="str">
        <f t="shared" si="14"/>
        <v/>
      </c>
      <c r="P68" s="18" t="str">
        <f t="shared" si="15"/>
        <v/>
      </c>
      <c r="Q68" s="18" t="str">
        <f t="shared" si="16"/>
        <v/>
      </c>
      <c r="R68" s="29">
        <f t="shared" si="17"/>
        <v>0</v>
      </c>
      <c r="S68" s="29">
        <f t="shared" si="18"/>
        <v>0</v>
      </c>
      <c r="T68" s="30" t="str">
        <f>IF(A68="","",Activos!E68)</f>
        <v/>
      </c>
      <c r="U68" s="29" t="str">
        <f t="shared" si="19"/>
        <v/>
      </c>
    </row>
    <row r="69" spans="1:21" x14ac:dyDescent="0.3">
      <c r="A69" s="10" t="str">
        <f>IF(Activos!A69="","",Activos!A69)</f>
        <v/>
      </c>
      <c r="B69" s="10" t="str">
        <f>IF(A69="","",Activos!C69)</f>
        <v/>
      </c>
      <c r="C69" s="28" t="str">
        <f>IF(A69="","",SUMIFS(Transacciones!$E$5:$E$1004,Transacciones!$B$5:$B$1004,A69,Transacciones!$D$5:$D$1004,"COMPRA"))</f>
        <v/>
      </c>
      <c r="D69" s="28" t="str">
        <f>IF(A69="","",SUMIFS(Transacciones!$E$5:$E$1004,Transacciones!$B$5:$B$1004,A69,Transacciones!$D$5:$D$1004,"VENTA"))</f>
        <v/>
      </c>
      <c r="E69" s="28" t="str">
        <f>IF(A69="","",SUMIF(Referidos!$C$5:$C$204,A69,Referidos!$D$5:$D$204))</f>
        <v/>
      </c>
      <c r="F69" s="28" t="str">
        <f t="shared" ref="F69:F100" si="20">IF(A69="","",C69-D69+E69)</f>
        <v/>
      </c>
      <c r="G69" s="18" t="str">
        <f>IF(A69="","",SUMIFS(Transacciones!$G$5:$G$1004,Transacciones!$B$5:$B$1004,A69,Transacciones!$D$5:$D$1004,"COMPRA"))</f>
        <v/>
      </c>
      <c r="H69" s="18" t="str">
        <f>IF(A69="","",SUMIFS(Transacciones!$H$5:$H$1004,Transacciones!$B$5:$B$1004,A69,Transacciones!$D$5:$D$1004,"COMPRA"))</f>
        <v/>
      </c>
      <c r="I69" s="18" t="str">
        <f>IF(A69="","",SUMIFS(Transacciones!$I$5:$I$1004,Transacciones!$B$5:$B$1004,A69,Transacciones!$D$5:$D$1004,"VENTA"))</f>
        <v/>
      </c>
      <c r="J69" s="18" t="str">
        <f t="shared" ref="J69:J104" si="21">IF(A69="","",G69+H69)</f>
        <v/>
      </c>
      <c r="K69" s="18">
        <f t="shared" ref="K69:K100" si="22">IFERROR(J69/C69,0)</f>
        <v>0</v>
      </c>
      <c r="L69" s="7" t="str">
        <f>IF(A69="","",IFERROR(LOOKUP(2,1/(Precios!$B$5:$B$2004=A69),Precios!$A$5:$A$2004),""))</f>
        <v/>
      </c>
      <c r="M69" s="13" t="str">
        <f>IF(A69="","",IFERROR(LOOKUP(2,1/(Precios!$B$5:$B$2004=A69),Precios!$C$5:$C$2004),0))</f>
        <v/>
      </c>
      <c r="N69" s="18" t="str">
        <f t="shared" ref="N69:N100" si="23">IF(A69="","",F69*M69)</f>
        <v/>
      </c>
      <c r="O69" s="18" t="str">
        <f t="shared" ref="O69:O104" si="24">IF(A69="","",MAX(C69-D69,0)*K69)</f>
        <v/>
      </c>
      <c r="P69" s="18" t="str">
        <f t="shared" ref="P69:P100" si="25">IF(A69="","",MAX(C69-D69,0)*M69-O69)</f>
        <v/>
      </c>
      <c r="Q69" s="18" t="str">
        <f t="shared" ref="Q69:Q104" si="26">IF(A69="","",N69-O69)</f>
        <v/>
      </c>
      <c r="R69" s="29">
        <f t="shared" ref="R69:R104" si="27">IFERROR(P69/O69,0)</f>
        <v>0</v>
      </c>
      <c r="S69" s="29">
        <f t="shared" ref="S69:S104" si="28">IFERROR(N69/SUM($N$5:$N$104),0)</f>
        <v>0</v>
      </c>
      <c r="T69" s="30" t="str">
        <f>IF(A69="","",Activos!E69)</f>
        <v/>
      </c>
      <c r="U69" s="29" t="str">
        <f t="shared" ref="U69:U100" si="29">IF(A69="","",S69-T69)</f>
        <v/>
      </c>
    </row>
    <row r="70" spans="1:21" x14ac:dyDescent="0.3">
      <c r="A70" s="10" t="str">
        <f>IF(Activos!A70="","",Activos!A70)</f>
        <v/>
      </c>
      <c r="B70" s="10" t="str">
        <f>IF(A70="","",Activos!C70)</f>
        <v/>
      </c>
      <c r="C70" s="28" t="str">
        <f>IF(A70="","",SUMIFS(Transacciones!$E$5:$E$1004,Transacciones!$B$5:$B$1004,A70,Transacciones!$D$5:$D$1004,"COMPRA"))</f>
        <v/>
      </c>
      <c r="D70" s="28" t="str">
        <f>IF(A70="","",SUMIFS(Transacciones!$E$5:$E$1004,Transacciones!$B$5:$B$1004,A70,Transacciones!$D$5:$D$1004,"VENTA"))</f>
        <v/>
      </c>
      <c r="E70" s="28" t="str">
        <f>IF(A70="","",SUMIF(Referidos!$C$5:$C$204,A70,Referidos!$D$5:$D$204))</f>
        <v/>
      </c>
      <c r="F70" s="28" t="str">
        <f t="shared" si="20"/>
        <v/>
      </c>
      <c r="G70" s="18" t="str">
        <f>IF(A70="","",SUMIFS(Transacciones!$G$5:$G$1004,Transacciones!$B$5:$B$1004,A70,Transacciones!$D$5:$D$1004,"COMPRA"))</f>
        <v/>
      </c>
      <c r="H70" s="18" t="str">
        <f>IF(A70="","",SUMIFS(Transacciones!$H$5:$H$1004,Transacciones!$B$5:$B$1004,A70,Transacciones!$D$5:$D$1004,"COMPRA"))</f>
        <v/>
      </c>
      <c r="I70" s="18" t="str">
        <f>IF(A70="","",SUMIFS(Transacciones!$I$5:$I$1004,Transacciones!$B$5:$B$1004,A70,Transacciones!$D$5:$D$1004,"VENTA"))</f>
        <v/>
      </c>
      <c r="J70" s="18" t="str">
        <f t="shared" si="21"/>
        <v/>
      </c>
      <c r="K70" s="18">
        <f t="shared" si="22"/>
        <v>0</v>
      </c>
      <c r="L70" s="7" t="str">
        <f>IF(A70="","",IFERROR(LOOKUP(2,1/(Precios!$B$5:$B$2004=A70),Precios!$A$5:$A$2004),""))</f>
        <v/>
      </c>
      <c r="M70" s="13" t="str">
        <f>IF(A70="","",IFERROR(LOOKUP(2,1/(Precios!$B$5:$B$2004=A70),Precios!$C$5:$C$2004),0))</f>
        <v/>
      </c>
      <c r="N70" s="18" t="str">
        <f t="shared" si="23"/>
        <v/>
      </c>
      <c r="O70" s="18" t="str">
        <f t="shared" si="24"/>
        <v/>
      </c>
      <c r="P70" s="18" t="str">
        <f t="shared" si="25"/>
        <v/>
      </c>
      <c r="Q70" s="18" t="str">
        <f t="shared" si="26"/>
        <v/>
      </c>
      <c r="R70" s="29">
        <f t="shared" si="27"/>
        <v>0</v>
      </c>
      <c r="S70" s="29">
        <f t="shared" si="28"/>
        <v>0</v>
      </c>
      <c r="T70" s="30" t="str">
        <f>IF(A70="","",Activos!E70)</f>
        <v/>
      </c>
      <c r="U70" s="29" t="str">
        <f t="shared" si="29"/>
        <v/>
      </c>
    </row>
    <row r="71" spans="1:21" x14ac:dyDescent="0.3">
      <c r="A71" s="10" t="str">
        <f>IF(Activos!A71="","",Activos!A71)</f>
        <v/>
      </c>
      <c r="B71" s="10" t="str">
        <f>IF(A71="","",Activos!C71)</f>
        <v/>
      </c>
      <c r="C71" s="28" t="str">
        <f>IF(A71="","",SUMIFS(Transacciones!$E$5:$E$1004,Transacciones!$B$5:$B$1004,A71,Transacciones!$D$5:$D$1004,"COMPRA"))</f>
        <v/>
      </c>
      <c r="D71" s="28" t="str">
        <f>IF(A71="","",SUMIFS(Transacciones!$E$5:$E$1004,Transacciones!$B$5:$B$1004,A71,Transacciones!$D$5:$D$1004,"VENTA"))</f>
        <v/>
      </c>
      <c r="E71" s="28" t="str">
        <f>IF(A71="","",SUMIF(Referidos!$C$5:$C$204,A71,Referidos!$D$5:$D$204))</f>
        <v/>
      </c>
      <c r="F71" s="28" t="str">
        <f t="shared" si="20"/>
        <v/>
      </c>
      <c r="G71" s="18" t="str">
        <f>IF(A71="","",SUMIFS(Transacciones!$G$5:$G$1004,Transacciones!$B$5:$B$1004,A71,Transacciones!$D$5:$D$1004,"COMPRA"))</f>
        <v/>
      </c>
      <c r="H71" s="18" t="str">
        <f>IF(A71="","",SUMIFS(Transacciones!$H$5:$H$1004,Transacciones!$B$5:$B$1004,A71,Transacciones!$D$5:$D$1004,"COMPRA"))</f>
        <v/>
      </c>
      <c r="I71" s="18" t="str">
        <f>IF(A71="","",SUMIFS(Transacciones!$I$5:$I$1004,Transacciones!$B$5:$B$1004,A71,Transacciones!$D$5:$D$1004,"VENTA"))</f>
        <v/>
      </c>
      <c r="J71" s="18" t="str">
        <f t="shared" si="21"/>
        <v/>
      </c>
      <c r="K71" s="18">
        <f t="shared" si="22"/>
        <v>0</v>
      </c>
      <c r="L71" s="7" t="str">
        <f>IF(A71="","",IFERROR(LOOKUP(2,1/(Precios!$B$5:$B$2004=A71),Precios!$A$5:$A$2004),""))</f>
        <v/>
      </c>
      <c r="M71" s="13" t="str">
        <f>IF(A71="","",IFERROR(LOOKUP(2,1/(Precios!$B$5:$B$2004=A71),Precios!$C$5:$C$2004),0))</f>
        <v/>
      </c>
      <c r="N71" s="18" t="str">
        <f t="shared" si="23"/>
        <v/>
      </c>
      <c r="O71" s="18" t="str">
        <f t="shared" si="24"/>
        <v/>
      </c>
      <c r="P71" s="18" t="str">
        <f t="shared" si="25"/>
        <v/>
      </c>
      <c r="Q71" s="18" t="str">
        <f t="shared" si="26"/>
        <v/>
      </c>
      <c r="R71" s="29">
        <f t="shared" si="27"/>
        <v>0</v>
      </c>
      <c r="S71" s="29">
        <f t="shared" si="28"/>
        <v>0</v>
      </c>
      <c r="T71" s="30" t="str">
        <f>IF(A71="","",Activos!E71)</f>
        <v/>
      </c>
      <c r="U71" s="29" t="str">
        <f t="shared" si="29"/>
        <v/>
      </c>
    </row>
    <row r="72" spans="1:21" x14ac:dyDescent="0.3">
      <c r="A72" s="10" t="str">
        <f>IF(Activos!A72="","",Activos!A72)</f>
        <v/>
      </c>
      <c r="B72" s="10" t="str">
        <f>IF(A72="","",Activos!C72)</f>
        <v/>
      </c>
      <c r="C72" s="28" t="str">
        <f>IF(A72="","",SUMIFS(Transacciones!$E$5:$E$1004,Transacciones!$B$5:$B$1004,A72,Transacciones!$D$5:$D$1004,"COMPRA"))</f>
        <v/>
      </c>
      <c r="D72" s="28" t="str">
        <f>IF(A72="","",SUMIFS(Transacciones!$E$5:$E$1004,Transacciones!$B$5:$B$1004,A72,Transacciones!$D$5:$D$1004,"VENTA"))</f>
        <v/>
      </c>
      <c r="E72" s="28" t="str">
        <f>IF(A72="","",SUMIF(Referidos!$C$5:$C$204,A72,Referidos!$D$5:$D$204))</f>
        <v/>
      </c>
      <c r="F72" s="28" t="str">
        <f t="shared" si="20"/>
        <v/>
      </c>
      <c r="G72" s="18" t="str">
        <f>IF(A72="","",SUMIFS(Transacciones!$G$5:$G$1004,Transacciones!$B$5:$B$1004,A72,Transacciones!$D$5:$D$1004,"COMPRA"))</f>
        <v/>
      </c>
      <c r="H72" s="18" t="str">
        <f>IF(A72="","",SUMIFS(Transacciones!$H$5:$H$1004,Transacciones!$B$5:$B$1004,A72,Transacciones!$D$5:$D$1004,"COMPRA"))</f>
        <v/>
      </c>
      <c r="I72" s="18" t="str">
        <f>IF(A72="","",SUMIFS(Transacciones!$I$5:$I$1004,Transacciones!$B$5:$B$1004,A72,Transacciones!$D$5:$D$1004,"VENTA"))</f>
        <v/>
      </c>
      <c r="J72" s="18" t="str">
        <f t="shared" si="21"/>
        <v/>
      </c>
      <c r="K72" s="18">
        <f t="shared" si="22"/>
        <v>0</v>
      </c>
      <c r="L72" s="7" t="str">
        <f>IF(A72="","",IFERROR(LOOKUP(2,1/(Precios!$B$5:$B$2004=A72),Precios!$A$5:$A$2004),""))</f>
        <v/>
      </c>
      <c r="M72" s="13" t="str">
        <f>IF(A72="","",IFERROR(LOOKUP(2,1/(Precios!$B$5:$B$2004=A72),Precios!$C$5:$C$2004),0))</f>
        <v/>
      </c>
      <c r="N72" s="18" t="str">
        <f t="shared" si="23"/>
        <v/>
      </c>
      <c r="O72" s="18" t="str">
        <f t="shared" si="24"/>
        <v/>
      </c>
      <c r="P72" s="18" t="str">
        <f t="shared" si="25"/>
        <v/>
      </c>
      <c r="Q72" s="18" t="str">
        <f t="shared" si="26"/>
        <v/>
      </c>
      <c r="R72" s="29">
        <f t="shared" si="27"/>
        <v>0</v>
      </c>
      <c r="S72" s="29">
        <f t="shared" si="28"/>
        <v>0</v>
      </c>
      <c r="T72" s="30" t="str">
        <f>IF(A72="","",Activos!E72)</f>
        <v/>
      </c>
      <c r="U72" s="29" t="str">
        <f t="shared" si="29"/>
        <v/>
      </c>
    </row>
    <row r="73" spans="1:21" x14ac:dyDescent="0.3">
      <c r="A73" s="10" t="str">
        <f>IF(Activos!A73="","",Activos!A73)</f>
        <v/>
      </c>
      <c r="B73" s="10" t="str">
        <f>IF(A73="","",Activos!C73)</f>
        <v/>
      </c>
      <c r="C73" s="28" t="str">
        <f>IF(A73="","",SUMIFS(Transacciones!$E$5:$E$1004,Transacciones!$B$5:$B$1004,A73,Transacciones!$D$5:$D$1004,"COMPRA"))</f>
        <v/>
      </c>
      <c r="D73" s="28" t="str">
        <f>IF(A73="","",SUMIFS(Transacciones!$E$5:$E$1004,Transacciones!$B$5:$B$1004,A73,Transacciones!$D$5:$D$1004,"VENTA"))</f>
        <v/>
      </c>
      <c r="E73" s="28" t="str">
        <f>IF(A73="","",SUMIF(Referidos!$C$5:$C$204,A73,Referidos!$D$5:$D$204))</f>
        <v/>
      </c>
      <c r="F73" s="28" t="str">
        <f t="shared" si="20"/>
        <v/>
      </c>
      <c r="G73" s="18" t="str">
        <f>IF(A73="","",SUMIFS(Transacciones!$G$5:$G$1004,Transacciones!$B$5:$B$1004,A73,Transacciones!$D$5:$D$1004,"COMPRA"))</f>
        <v/>
      </c>
      <c r="H73" s="18" t="str">
        <f>IF(A73="","",SUMIFS(Transacciones!$H$5:$H$1004,Transacciones!$B$5:$B$1004,A73,Transacciones!$D$5:$D$1004,"COMPRA"))</f>
        <v/>
      </c>
      <c r="I73" s="18" t="str">
        <f>IF(A73="","",SUMIFS(Transacciones!$I$5:$I$1004,Transacciones!$B$5:$B$1004,A73,Transacciones!$D$5:$D$1004,"VENTA"))</f>
        <v/>
      </c>
      <c r="J73" s="18" t="str">
        <f t="shared" si="21"/>
        <v/>
      </c>
      <c r="K73" s="18">
        <f t="shared" si="22"/>
        <v>0</v>
      </c>
      <c r="L73" s="7" t="str">
        <f>IF(A73="","",IFERROR(LOOKUP(2,1/(Precios!$B$5:$B$2004=A73),Precios!$A$5:$A$2004),""))</f>
        <v/>
      </c>
      <c r="M73" s="13" t="str">
        <f>IF(A73="","",IFERROR(LOOKUP(2,1/(Precios!$B$5:$B$2004=A73),Precios!$C$5:$C$2004),0))</f>
        <v/>
      </c>
      <c r="N73" s="18" t="str">
        <f t="shared" si="23"/>
        <v/>
      </c>
      <c r="O73" s="18" t="str">
        <f t="shared" si="24"/>
        <v/>
      </c>
      <c r="P73" s="18" t="str">
        <f t="shared" si="25"/>
        <v/>
      </c>
      <c r="Q73" s="18" t="str">
        <f t="shared" si="26"/>
        <v/>
      </c>
      <c r="R73" s="29">
        <f t="shared" si="27"/>
        <v>0</v>
      </c>
      <c r="S73" s="29">
        <f t="shared" si="28"/>
        <v>0</v>
      </c>
      <c r="T73" s="30" t="str">
        <f>IF(A73="","",Activos!E73)</f>
        <v/>
      </c>
      <c r="U73" s="29" t="str">
        <f t="shared" si="29"/>
        <v/>
      </c>
    </row>
    <row r="74" spans="1:21" x14ac:dyDescent="0.3">
      <c r="A74" s="10" t="str">
        <f>IF(Activos!A74="","",Activos!A74)</f>
        <v/>
      </c>
      <c r="B74" s="10" t="str">
        <f>IF(A74="","",Activos!C74)</f>
        <v/>
      </c>
      <c r="C74" s="28" t="str">
        <f>IF(A74="","",SUMIFS(Transacciones!$E$5:$E$1004,Transacciones!$B$5:$B$1004,A74,Transacciones!$D$5:$D$1004,"COMPRA"))</f>
        <v/>
      </c>
      <c r="D74" s="28" t="str">
        <f>IF(A74="","",SUMIFS(Transacciones!$E$5:$E$1004,Transacciones!$B$5:$B$1004,A74,Transacciones!$D$5:$D$1004,"VENTA"))</f>
        <v/>
      </c>
      <c r="E74" s="28" t="str">
        <f>IF(A74="","",SUMIF(Referidos!$C$5:$C$204,A74,Referidos!$D$5:$D$204))</f>
        <v/>
      </c>
      <c r="F74" s="28" t="str">
        <f t="shared" si="20"/>
        <v/>
      </c>
      <c r="G74" s="18" t="str">
        <f>IF(A74="","",SUMIFS(Transacciones!$G$5:$G$1004,Transacciones!$B$5:$B$1004,A74,Transacciones!$D$5:$D$1004,"COMPRA"))</f>
        <v/>
      </c>
      <c r="H74" s="18" t="str">
        <f>IF(A74="","",SUMIFS(Transacciones!$H$5:$H$1004,Transacciones!$B$5:$B$1004,A74,Transacciones!$D$5:$D$1004,"COMPRA"))</f>
        <v/>
      </c>
      <c r="I74" s="18" t="str">
        <f>IF(A74="","",SUMIFS(Transacciones!$I$5:$I$1004,Transacciones!$B$5:$B$1004,A74,Transacciones!$D$5:$D$1004,"VENTA"))</f>
        <v/>
      </c>
      <c r="J74" s="18" t="str">
        <f t="shared" si="21"/>
        <v/>
      </c>
      <c r="K74" s="18">
        <f t="shared" si="22"/>
        <v>0</v>
      </c>
      <c r="L74" s="7" t="str">
        <f>IF(A74="","",IFERROR(LOOKUP(2,1/(Precios!$B$5:$B$2004=A74),Precios!$A$5:$A$2004),""))</f>
        <v/>
      </c>
      <c r="M74" s="13" t="str">
        <f>IF(A74="","",IFERROR(LOOKUP(2,1/(Precios!$B$5:$B$2004=A74),Precios!$C$5:$C$2004),0))</f>
        <v/>
      </c>
      <c r="N74" s="18" t="str">
        <f t="shared" si="23"/>
        <v/>
      </c>
      <c r="O74" s="18" t="str">
        <f t="shared" si="24"/>
        <v/>
      </c>
      <c r="P74" s="18" t="str">
        <f t="shared" si="25"/>
        <v/>
      </c>
      <c r="Q74" s="18" t="str">
        <f t="shared" si="26"/>
        <v/>
      </c>
      <c r="R74" s="29">
        <f t="shared" si="27"/>
        <v>0</v>
      </c>
      <c r="S74" s="29">
        <f t="shared" si="28"/>
        <v>0</v>
      </c>
      <c r="T74" s="30" t="str">
        <f>IF(A74="","",Activos!E74)</f>
        <v/>
      </c>
      <c r="U74" s="29" t="str">
        <f t="shared" si="29"/>
        <v/>
      </c>
    </row>
    <row r="75" spans="1:21" x14ac:dyDescent="0.3">
      <c r="A75" s="10" t="str">
        <f>IF(Activos!A75="","",Activos!A75)</f>
        <v/>
      </c>
      <c r="B75" s="10" t="str">
        <f>IF(A75="","",Activos!C75)</f>
        <v/>
      </c>
      <c r="C75" s="28" t="str">
        <f>IF(A75="","",SUMIFS(Transacciones!$E$5:$E$1004,Transacciones!$B$5:$B$1004,A75,Transacciones!$D$5:$D$1004,"COMPRA"))</f>
        <v/>
      </c>
      <c r="D75" s="28" t="str">
        <f>IF(A75="","",SUMIFS(Transacciones!$E$5:$E$1004,Transacciones!$B$5:$B$1004,A75,Transacciones!$D$5:$D$1004,"VENTA"))</f>
        <v/>
      </c>
      <c r="E75" s="28" t="str">
        <f>IF(A75="","",SUMIF(Referidos!$C$5:$C$204,A75,Referidos!$D$5:$D$204))</f>
        <v/>
      </c>
      <c r="F75" s="28" t="str">
        <f t="shared" si="20"/>
        <v/>
      </c>
      <c r="G75" s="18" t="str">
        <f>IF(A75="","",SUMIFS(Transacciones!$G$5:$G$1004,Transacciones!$B$5:$B$1004,A75,Transacciones!$D$5:$D$1004,"COMPRA"))</f>
        <v/>
      </c>
      <c r="H75" s="18" t="str">
        <f>IF(A75="","",SUMIFS(Transacciones!$H$5:$H$1004,Transacciones!$B$5:$B$1004,A75,Transacciones!$D$5:$D$1004,"COMPRA"))</f>
        <v/>
      </c>
      <c r="I75" s="18" t="str">
        <f>IF(A75="","",SUMIFS(Transacciones!$I$5:$I$1004,Transacciones!$B$5:$B$1004,A75,Transacciones!$D$5:$D$1004,"VENTA"))</f>
        <v/>
      </c>
      <c r="J75" s="18" t="str">
        <f t="shared" si="21"/>
        <v/>
      </c>
      <c r="K75" s="18">
        <f t="shared" si="22"/>
        <v>0</v>
      </c>
      <c r="L75" s="7" t="str">
        <f>IF(A75="","",IFERROR(LOOKUP(2,1/(Precios!$B$5:$B$2004=A75),Precios!$A$5:$A$2004),""))</f>
        <v/>
      </c>
      <c r="M75" s="13" t="str">
        <f>IF(A75="","",IFERROR(LOOKUP(2,1/(Precios!$B$5:$B$2004=A75),Precios!$C$5:$C$2004),0))</f>
        <v/>
      </c>
      <c r="N75" s="18" t="str">
        <f t="shared" si="23"/>
        <v/>
      </c>
      <c r="O75" s="18" t="str">
        <f t="shared" si="24"/>
        <v/>
      </c>
      <c r="P75" s="18" t="str">
        <f t="shared" si="25"/>
        <v/>
      </c>
      <c r="Q75" s="18" t="str">
        <f t="shared" si="26"/>
        <v/>
      </c>
      <c r="R75" s="29">
        <f t="shared" si="27"/>
        <v>0</v>
      </c>
      <c r="S75" s="29">
        <f t="shared" si="28"/>
        <v>0</v>
      </c>
      <c r="T75" s="30" t="str">
        <f>IF(A75="","",Activos!E75)</f>
        <v/>
      </c>
      <c r="U75" s="29" t="str">
        <f t="shared" si="29"/>
        <v/>
      </c>
    </row>
    <row r="76" spans="1:21" x14ac:dyDescent="0.3">
      <c r="A76" s="10" t="str">
        <f>IF(Activos!A76="","",Activos!A76)</f>
        <v/>
      </c>
      <c r="B76" s="10" t="str">
        <f>IF(A76="","",Activos!C76)</f>
        <v/>
      </c>
      <c r="C76" s="28" t="str">
        <f>IF(A76="","",SUMIFS(Transacciones!$E$5:$E$1004,Transacciones!$B$5:$B$1004,A76,Transacciones!$D$5:$D$1004,"COMPRA"))</f>
        <v/>
      </c>
      <c r="D76" s="28" t="str">
        <f>IF(A76="","",SUMIFS(Transacciones!$E$5:$E$1004,Transacciones!$B$5:$B$1004,A76,Transacciones!$D$5:$D$1004,"VENTA"))</f>
        <v/>
      </c>
      <c r="E76" s="28" t="str">
        <f>IF(A76="","",SUMIF(Referidos!$C$5:$C$204,A76,Referidos!$D$5:$D$204))</f>
        <v/>
      </c>
      <c r="F76" s="28" t="str">
        <f t="shared" si="20"/>
        <v/>
      </c>
      <c r="G76" s="18" t="str">
        <f>IF(A76="","",SUMIFS(Transacciones!$G$5:$G$1004,Transacciones!$B$5:$B$1004,A76,Transacciones!$D$5:$D$1004,"COMPRA"))</f>
        <v/>
      </c>
      <c r="H76" s="18" t="str">
        <f>IF(A76="","",SUMIFS(Transacciones!$H$5:$H$1004,Transacciones!$B$5:$B$1004,A76,Transacciones!$D$5:$D$1004,"COMPRA"))</f>
        <v/>
      </c>
      <c r="I76" s="18" t="str">
        <f>IF(A76="","",SUMIFS(Transacciones!$I$5:$I$1004,Transacciones!$B$5:$B$1004,A76,Transacciones!$D$5:$D$1004,"VENTA"))</f>
        <v/>
      </c>
      <c r="J76" s="18" t="str">
        <f t="shared" si="21"/>
        <v/>
      </c>
      <c r="K76" s="18">
        <f t="shared" si="22"/>
        <v>0</v>
      </c>
      <c r="L76" s="7" t="str">
        <f>IF(A76="","",IFERROR(LOOKUP(2,1/(Precios!$B$5:$B$2004=A76),Precios!$A$5:$A$2004),""))</f>
        <v/>
      </c>
      <c r="M76" s="13" t="str">
        <f>IF(A76="","",IFERROR(LOOKUP(2,1/(Precios!$B$5:$B$2004=A76),Precios!$C$5:$C$2004),0))</f>
        <v/>
      </c>
      <c r="N76" s="18" t="str">
        <f t="shared" si="23"/>
        <v/>
      </c>
      <c r="O76" s="18" t="str">
        <f t="shared" si="24"/>
        <v/>
      </c>
      <c r="P76" s="18" t="str">
        <f t="shared" si="25"/>
        <v/>
      </c>
      <c r="Q76" s="18" t="str">
        <f t="shared" si="26"/>
        <v/>
      </c>
      <c r="R76" s="29">
        <f t="shared" si="27"/>
        <v>0</v>
      </c>
      <c r="S76" s="29">
        <f t="shared" si="28"/>
        <v>0</v>
      </c>
      <c r="T76" s="30" t="str">
        <f>IF(A76="","",Activos!E76)</f>
        <v/>
      </c>
      <c r="U76" s="29" t="str">
        <f t="shared" si="29"/>
        <v/>
      </c>
    </row>
    <row r="77" spans="1:21" x14ac:dyDescent="0.3">
      <c r="A77" s="10" t="str">
        <f>IF(Activos!A77="","",Activos!A77)</f>
        <v/>
      </c>
      <c r="B77" s="10" t="str">
        <f>IF(A77="","",Activos!C77)</f>
        <v/>
      </c>
      <c r="C77" s="28" t="str">
        <f>IF(A77="","",SUMIFS(Transacciones!$E$5:$E$1004,Transacciones!$B$5:$B$1004,A77,Transacciones!$D$5:$D$1004,"COMPRA"))</f>
        <v/>
      </c>
      <c r="D77" s="28" t="str">
        <f>IF(A77="","",SUMIFS(Transacciones!$E$5:$E$1004,Transacciones!$B$5:$B$1004,A77,Transacciones!$D$5:$D$1004,"VENTA"))</f>
        <v/>
      </c>
      <c r="E77" s="28" t="str">
        <f>IF(A77="","",SUMIF(Referidos!$C$5:$C$204,A77,Referidos!$D$5:$D$204))</f>
        <v/>
      </c>
      <c r="F77" s="28" t="str">
        <f t="shared" si="20"/>
        <v/>
      </c>
      <c r="G77" s="18" t="str">
        <f>IF(A77="","",SUMIFS(Transacciones!$G$5:$G$1004,Transacciones!$B$5:$B$1004,A77,Transacciones!$D$5:$D$1004,"COMPRA"))</f>
        <v/>
      </c>
      <c r="H77" s="18" t="str">
        <f>IF(A77="","",SUMIFS(Transacciones!$H$5:$H$1004,Transacciones!$B$5:$B$1004,A77,Transacciones!$D$5:$D$1004,"COMPRA"))</f>
        <v/>
      </c>
      <c r="I77" s="18" t="str">
        <f>IF(A77="","",SUMIFS(Transacciones!$I$5:$I$1004,Transacciones!$B$5:$B$1004,A77,Transacciones!$D$5:$D$1004,"VENTA"))</f>
        <v/>
      </c>
      <c r="J77" s="18" t="str">
        <f t="shared" si="21"/>
        <v/>
      </c>
      <c r="K77" s="18">
        <f t="shared" si="22"/>
        <v>0</v>
      </c>
      <c r="L77" s="7" t="str">
        <f>IF(A77="","",IFERROR(LOOKUP(2,1/(Precios!$B$5:$B$2004=A77),Precios!$A$5:$A$2004),""))</f>
        <v/>
      </c>
      <c r="M77" s="13" t="str">
        <f>IF(A77="","",IFERROR(LOOKUP(2,1/(Precios!$B$5:$B$2004=A77),Precios!$C$5:$C$2004),0))</f>
        <v/>
      </c>
      <c r="N77" s="18" t="str">
        <f t="shared" si="23"/>
        <v/>
      </c>
      <c r="O77" s="18" t="str">
        <f t="shared" si="24"/>
        <v/>
      </c>
      <c r="P77" s="18" t="str">
        <f t="shared" si="25"/>
        <v/>
      </c>
      <c r="Q77" s="18" t="str">
        <f t="shared" si="26"/>
        <v/>
      </c>
      <c r="R77" s="29">
        <f t="shared" si="27"/>
        <v>0</v>
      </c>
      <c r="S77" s="29">
        <f t="shared" si="28"/>
        <v>0</v>
      </c>
      <c r="T77" s="30" t="str">
        <f>IF(A77="","",Activos!E77)</f>
        <v/>
      </c>
      <c r="U77" s="29" t="str">
        <f t="shared" si="29"/>
        <v/>
      </c>
    </row>
    <row r="78" spans="1:21" x14ac:dyDescent="0.3">
      <c r="A78" s="10" t="str">
        <f>IF(Activos!A78="","",Activos!A78)</f>
        <v/>
      </c>
      <c r="B78" s="10" t="str">
        <f>IF(A78="","",Activos!C78)</f>
        <v/>
      </c>
      <c r="C78" s="28" t="str">
        <f>IF(A78="","",SUMIFS(Transacciones!$E$5:$E$1004,Transacciones!$B$5:$B$1004,A78,Transacciones!$D$5:$D$1004,"COMPRA"))</f>
        <v/>
      </c>
      <c r="D78" s="28" t="str">
        <f>IF(A78="","",SUMIFS(Transacciones!$E$5:$E$1004,Transacciones!$B$5:$B$1004,A78,Transacciones!$D$5:$D$1004,"VENTA"))</f>
        <v/>
      </c>
      <c r="E78" s="28" t="str">
        <f>IF(A78="","",SUMIF(Referidos!$C$5:$C$204,A78,Referidos!$D$5:$D$204))</f>
        <v/>
      </c>
      <c r="F78" s="28" t="str">
        <f t="shared" si="20"/>
        <v/>
      </c>
      <c r="G78" s="18" t="str">
        <f>IF(A78="","",SUMIFS(Transacciones!$G$5:$G$1004,Transacciones!$B$5:$B$1004,A78,Transacciones!$D$5:$D$1004,"COMPRA"))</f>
        <v/>
      </c>
      <c r="H78" s="18" t="str">
        <f>IF(A78="","",SUMIFS(Transacciones!$H$5:$H$1004,Transacciones!$B$5:$B$1004,A78,Transacciones!$D$5:$D$1004,"COMPRA"))</f>
        <v/>
      </c>
      <c r="I78" s="18" t="str">
        <f>IF(A78="","",SUMIFS(Transacciones!$I$5:$I$1004,Transacciones!$B$5:$B$1004,A78,Transacciones!$D$5:$D$1004,"VENTA"))</f>
        <v/>
      </c>
      <c r="J78" s="18" t="str">
        <f t="shared" si="21"/>
        <v/>
      </c>
      <c r="K78" s="18">
        <f t="shared" si="22"/>
        <v>0</v>
      </c>
      <c r="L78" s="7" t="str">
        <f>IF(A78="","",IFERROR(LOOKUP(2,1/(Precios!$B$5:$B$2004=A78),Precios!$A$5:$A$2004),""))</f>
        <v/>
      </c>
      <c r="M78" s="13" t="str">
        <f>IF(A78="","",IFERROR(LOOKUP(2,1/(Precios!$B$5:$B$2004=A78),Precios!$C$5:$C$2004),0))</f>
        <v/>
      </c>
      <c r="N78" s="18" t="str">
        <f t="shared" si="23"/>
        <v/>
      </c>
      <c r="O78" s="18" t="str">
        <f t="shared" si="24"/>
        <v/>
      </c>
      <c r="P78" s="18" t="str">
        <f t="shared" si="25"/>
        <v/>
      </c>
      <c r="Q78" s="18" t="str">
        <f t="shared" si="26"/>
        <v/>
      </c>
      <c r="R78" s="29">
        <f t="shared" si="27"/>
        <v>0</v>
      </c>
      <c r="S78" s="29">
        <f t="shared" si="28"/>
        <v>0</v>
      </c>
      <c r="T78" s="30" t="str">
        <f>IF(A78="","",Activos!E78)</f>
        <v/>
      </c>
      <c r="U78" s="29" t="str">
        <f t="shared" si="29"/>
        <v/>
      </c>
    </row>
    <row r="79" spans="1:21" x14ac:dyDescent="0.3">
      <c r="A79" s="10" t="str">
        <f>IF(Activos!A79="","",Activos!A79)</f>
        <v/>
      </c>
      <c r="B79" s="10" t="str">
        <f>IF(A79="","",Activos!C79)</f>
        <v/>
      </c>
      <c r="C79" s="28" t="str">
        <f>IF(A79="","",SUMIFS(Transacciones!$E$5:$E$1004,Transacciones!$B$5:$B$1004,A79,Transacciones!$D$5:$D$1004,"COMPRA"))</f>
        <v/>
      </c>
      <c r="D79" s="28" t="str">
        <f>IF(A79="","",SUMIFS(Transacciones!$E$5:$E$1004,Transacciones!$B$5:$B$1004,A79,Transacciones!$D$5:$D$1004,"VENTA"))</f>
        <v/>
      </c>
      <c r="E79" s="28" t="str">
        <f>IF(A79="","",SUMIF(Referidos!$C$5:$C$204,A79,Referidos!$D$5:$D$204))</f>
        <v/>
      </c>
      <c r="F79" s="28" t="str">
        <f t="shared" si="20"/>
        <v/>
      </c>
      <c r="G79" s="18" t="str">
        <f>IF(A79="","",SUMIFS(Transacciones!$G$5:$G$1004,Transacciones!$B$5:$B$1004,A79,Transacciones!$D$5:$D$1004,"COMPRA"))</f>
        <v/>
      </c>
      <c r="H79" s="18" t="str">
        <f>IF(A79="","",SUMIFS(Transacciones!$H$5:$H$1004,Transacciones!$B$5:$B$1004,A79,Transacciones!$D$5:$D$1004,"COMPRA"))</f>
        <v/>
      </c>
      <c r="I79" s="18" t="str">
        <f>IF(A79="","",SUMIFS(Transacciones!$I$5:$I$1004,Transacciones!$B$5:$B$1004,A79,Transacciones!$D$5:$D$1004,"VENTA"))</f>
        <v/>
      </c>
      <c r="J79" s="18" t="str">
        <f t="shared" si="21"/>
        <v/>
      </c>
      <c r="K79" s="18">
        <f t="shared" si="22"/>
        <v>0</v>
      </c>
      <c r="L79" s="7" t="str">
        <f>IF(A79="","",IFERROR(LOOKUP(2,1/(Precios!$B$5:$B$2004=A79),Precios!$A$5:$A$2004),""))</f>
        <v/>
      </c>
      <c r="M79" s="13" t="str">
        <f>IF(A79="","",IFERROR(LOOKUP(2,1/(Precios!$B$5:$B$2004=A79),Precios!$C$5:$C$2004),0))</f>
        <v/>
      </c>
      <c r="N79" s="18" t="str">
        <f t="shared" si="23"/>
        <v/>
      </c>
      <c r="O79" s="18" t="str">
        <f t="shared" si="24"/>
        <v/>
      </c>
      <c r="P79" s="18" t="str">
        <f t="shared" si="25"/>
        <v/>
      </c>
      <c r="Q79" s="18" t="str">
        <f t="shared" si="26"/>
        <v/>
      </c>
      <c r="R79" s="29">
        <f t="shared" si="27"/>
        <v>0</v>
      </c>
      <c r="S79" s="29">
        <f t="shared" si="28"/>
        <v>0</v>
      </c>
      <c r="T79" s="30" t="str">
        <f>IF(A79="","",Activos!E79)</f>
        <v/>
      </c>
      <c r="U79" s="29" t="str">
        <f t="shared" si="29"/>
        <v/>
      </c>
    </row>
    <row r="80" spans="1:21" x14ac:dyDescent="0.3">
      <c r="A80" s="10" t="str">
        <f>IF(Activos!A80="","",Activos!A80)</f>
        <v/>
      </c>
      <c r="B80" s="10" t="str">
        <f>IF(A80="","",Activos!C80)</f>
        <v/>
      </c>
      <c r="C80" s="28" t="str">
        <f>IF(A80="","",SUMIFS(Transacciones!$E$5:$E$1004,Transacciones!$B$5:$B$1004,A80,Transacciones!$D$5:$D$1004,"COMPRA"))</f>
        <v/>
      </c>
      <c r="D80" s="28" t="str">
        <f>IF(A80="","",SUMIFS(Transacciones!$E$5:$E$1004,Transacciones!$B$5:$B$1004,A80,Transacciones!$D$5:$D$1004,"VENTA"))</f>
        <v/>
      </c>
      <c r="E80" s="28" t="str">
        <f>IF(A80="","",SUMIF(Referidos!$C$5:$C$204,A80,Referidos!$D$5:$D$204))</f>
        <v/>
      </c>
      <c r="F80" s="28" t="str">
        <f t="shared" si="20"/>
        <v/>
      </c>
      <c r="G80" s="18" t="str">
        <f>IF(A80="","",SUMIFS(Transacciones!$G$5:$G$1004,Transacciones!$B$5:$B$1004,A80,Transacciones!$D$5:$D$1004,"COMPRA"))</f>
        <v/>
      </c>
      <c r="H80" s="18" t="str">
        <f>IF(A80="","",SUMIFS(Transacciones!$H$5:$H$1004,Transacciones!$B$5:$B$1004,A80,Transacciones!$D$5:$D$1004,"COMPRA"))</f>
        <v/>
      </c>
      <c r="I80" s="18" t="str">
        <f>IF(A80="","",SUMIFS(Transacciones!$I$5:$I$1004,Transacciones!$B$5:$B$1004,A80,Transacciones!$D$5:$D$1004,"VENTA"))</f>
        <v/>
      </c>
      <c r="J80" s="18" t="str">
        <f t="shared" si="21"/>
        <v/>
      </c>
      <c r="K80" s="18">
        <f t="shared" si="22"/>
        <v>0</v>
      </c>
      <c r="L80" s="7" t="str">
        <f>IF(A80="","",IFERROR(LOOKUP(2,1/(Precios!$B$5:$B$2004=A80),Precios!$A$5:$A$2004),""))</f>
        <v/>
      </c>
      <c r="M80" s="13" t="str">
        <f>IF(A80="","",IFERROR(LOOKUP(2,1/(Precios!$B$5:$B$2004=A80),Precios!$C$5:$C$2004),0))</f>
        <v/>
      </c>
      <c r="N80" s="18" t="str">
        <f t="shared" si="23"/>
        <v/>
      </c>
      <c r="O80" s="18" t="str">
        <f t="shared" si="24"/>
        <v/>
      </c>
      <c r="P80" s="18" t="str">
        <f t="shared" si="25"/>
        <v/>
      </c>
      <c r="Q80" s="18" t="str">
        <f t="shared" si="26"/>
        <v/>
      </c>
      <c r="R80" s="29">
        <f t="shared" si="27"/>
        <v>0</v>
      </c>
      <c r="S80" s="29">
        <f t="shared" si="28"/>
        <v>0</v>
      </c>
      <c r="T80" s="30" t="str">
        <f>IF(A80="","",Activos!E80)</f>
        <v/>
      </c>
      <c r="U80" s="29" t="str">
        <f t="shared" si="29"/>
        <v/>
      </c>
    </row>
    <row r="81" spans="1:21" x14ac:dyDescent="0.3">
      <c r="A81" s="10" t="str">
        <f>IF(Activos!A81="","",Activos!A81)</f>
        <v/>
      </c>
      <c r="B81" s="10" t="str">
        <f>IF(A81="","",Activos!C81)</f>
        <v/>
      </c>
      <c r="C81" s="28" t="str">
        <f>IF(A81="","",SUMIFS(Transacciones!$E$5:$E$1004,Transacciones!$B$5:$B$1004,A81,Transacciones!$D$5:$D$1004,"COMPRA"))</f>
        <v/>
      </c>
      <c r="D81" s="28" t="str">
        <f>IF(A81="","",SUMIFS(Transacciones!$E$5:$E$1004,Transacciones!$B$5:$B$1004,A81,Transacciones!$D$5:$D$1004,"VENTA"))</f>
        <v/>
      </c>
      <c r="E81" s="28" t="str">
        <f>IF(A81="","",SUMIF(Referidos!$C$5:$C$204,A81,Referidos!$D$5:$D$204))</f>
        <v/>
      </c>
      <c r="F81" s="28" t="str">
        <f t="shared" si="20"/>
        <v/>
      </c>
      <c r="G81" s="18" t="str">
        <f>IF(A81="","",SUMIFS(Transacciones!$G$5:$G$1004,Transacciones!$B$5:$B$1004,A81,Transacciones!$D$5:$D$1004,"COMPRA"))</f>
        <v/>
      </c>
      <c r="H81" s="18" t="str">
        <f>IF(A81="","",SUMIFS(Transacciones!$H$5:$H$1004,Transacciones!$B$5:$B$1004,A81,Transacciones!$D$5:$D$1004,"COMPRA"))</f>
        <v/>
      </c>
      <c r="I81" s="18" t="str">
        <f>IF(A81="","",SUMIFS(Transacciones!$I$5:$I$1004,Transacciones!$B$5:$B$1004,A81,Transacciones!$D$5:$D$1004,"VENTA"))</f>
        <v/>
      </c>
      <c r="J81" s="18" t="str">
        <f t="shared" si="21"/>
        <v/>
      </c>
      <c r="K81" s="18">
        <f t="shared" si="22"/>
        <v>0</v>
      </c>
      <c r="L81" s="7" t="str">
        <f>IF(A81="","",IFERROR(LOOKUP(2,1/(Precios!$B$5:$B$2004=A81),Precios!$A$5:$A$2004),""))</f>
        <v/>
      </c>
      <c r="M81" s="13" t="str">
        <f>IF(A81="","",IFERROR(LOOKUP(2,1/(Precios!$B$5:$B$2004=A81),Precios!$C$5:$C$2004),0))</f>
        <v/>
      </c>
      <c r="N81" s="18" t="str">
        <f t="shared" si="23"/>
        <v/>
      </c>
      <c r="O81" s="18" t="str">
        <f t="shared" si="24"/>
        <v/>
      </c>
      <c r="P81" s="18" t="str">
        <f t="shared" si="25"/>
        <v/>
      </c>
      <c r="Q81" s="18" t="str">
        <f t="shared" si="26"/>
        <v/>
      </c>
      <c r="R81" s="29">
        <f t="shared" si="27"/>
        <v>0</v>
      </c>
      <c r="S81" s="29">
        <f t="shared" si="28"/>
        <v>0</v>
      </c>
      <c r="T81" s="30" t="str">
        <f>IF(A81="","",Activos!E81)</f>
        <v/>
      </c>
      <c r="U81" s="29" t="str">
        <f t="shared" si="29"/>
        <v/>
      </c>
    </row>
    <row r="82" spans="1:21" x14ac:dyDescent="0.3">
      <c r="A82" s="10" t="str">
        <f>IF(Activos!A82="","",Activos!A82)</f>
        <v/>
      </c>
      <c r="B82" s="10" t="str">
        <f>IF(A82="","",Activos!C82)</f>
        <v/>
      </c>
      <c r="C82" s="28" t="str">
        <f>IF(A82="","",SUMIFS(Transacciones!$E$5:$E$1004,Transacciones!$B$5:$B$1004,A82,Transacciones!$D$5:$D$1004,"COMPRA"))</f>
        <v/>
      </c>
      <c r="D82" s="28" t="str">
        <f>IF(A82="","",SUMIFS(Transacciones!$E$5:$E$1004,Transacciones!$B$5:$B$1004,A82,Transacciones!$D$5:$D$1004,"VENTA"))</f>
        <v/>
      </c>
      <c r="E82" s="28" t="str">
        <f>IF(A82="","",SUMIF(Referidos!$C$5:$C$204,A82,Referidos!$D$5:$D$204))</f>
        <v/>
      </c>
      <c r="F82" s="28" t="str">
        <f t="shared" si="20"/>
        <v/>
      </c>
      <c r="G82" s="18" t="str">
        <f>IF(A82="","",SUMIFS(Transacciones!$G$5:$G$1004,Transacciones!$B$5:$B$1004,A82,Transacciones!$D$5:$D$1004,"COMPRA"))</f>
        <v/>
      </c>
      <c r="H82" s="18" t="str">
        <f>IF(A82="","",SUMIFS(Transacciones!$H$5:$H$1004,Transacciones!$B$5:$B$1004,A82,Transacciones!$D$5:$D$1004,"COMPRA"))</f>
        <v/>
      </c>
      <c r="I82" s="18" t="str">
        <f>IF(A82="","",SUMIFS(Transacciones!$I$5:$I$1004,Transacciones!$B$5:$B$1004,A82,Transacciones!$D$5:$D$1004,"VENTA"))</f>
        <v/>
      </c>
      <c r="J82" s="18" t="str">
        <f t="shared" si="21"/>
        <v/>
      </c>
      <c r="K82" s="18">
        <f t="shared" si="22"/>
        <v>0</v>
      </c>
      <c r="L82" s="7" t="str">
        <f>IF(A82="","",IFERROR(LOOKUP(2,1/(Precios!$B$5:$B$2004=A82),Precios!$A$5:$A$2004),""))</f>
        <v/>
      </c>
      <c r="M82" s="13" t="str">
        <f>IF(A82="","",IFERROR(LOOKUP(2,1/(Precios!$B$5:$B$2004=A82),Precios!$C$5:$C$2004),0))</f>
        <v/>
      </c>
      <c r="N82" s="18" t="str">
        <f t="shared" si="23"/>
        <v/>
      </c>
      <c r="O82" s="18" t="str">
        <f t="shared" si="24"/>
        <v/>
      </c>
      <c r="P82" s="18" t="str">
        <f t="shared" si="25"/>
        <v/>
      </c>
      <c r="Q82" s="18" t="str">
        <f t="shared" si="26"/>
        <v/>
      </c>
      <c r="R82" s="29">
        <f t="shared" si="27"/>
        <v>0</v>
      </c>
      <c r="S82" s="29">
        <f t="shared" si="28"/>
        <v>0</v>
      </c>
      <c r="T82" s="30" t="str">
        <f>IF(A82="","",Activos!E82)</f>
        <v/>
      </c>
      <c r="U82" s="29" t="str">
        <f t="shared" si="29"/>
        <v/>
      </c>
    </row>
    <row r="83" spans="1:21" x14ac:dyDescent="0.3">
      <c r="A83" s="10" t="str">
        <f>IF(Activos!A83="","",Activos!A83)</f>
        <v/>
      </c>
      <c r="B83" s="10" t="str">
        <f>IF(A83="","",Activos!C83)</f>
        <v/>
      </c>
      <c r="C83" s="28" t="str">
        <f>IF(A83="","",SUMIFS(Transacciones!$E$5:$E$1004,Transacciones!$B$5:$B$1004,A83,Transacciones!$D$5:$D$1004,"COMPRA"))</f>
        <v/>
      </c>
      <c r="D83" s="28" t="str">
        <f>IF(A83="","",SUMIFS(Transacciones!$E$5:$E$1004,Transacciones!$B$5:$B$1004,A83,Transacciones!$D$5:$D$1004,"VENTA"))</f>
        <v/>
      </c>
      <c r="E83" s="28" t="str">
        <f>IF(A83="","",SUMIF(Referidos!$C$5:$C$204,A83,Referidos!$D$5:$D$204))</f>
        <v/>
      </c>
      <c r="F83" s="28" t="str">
        <f t="shared" si="20"/>
        <v/>
      </c>
      <c r="G83" s="18" t="str">
        <f>IF(A83="","",SUMIFS(Transacciones!$G$5:$G$1004,Transacciones!$B$5:$B$1004,A83,Transacciones!$D$5:$D$1004,"COMPRA"))</f>
        <v/>
      </c>
      <c r="H83" s="18" t="str">
        <f>IF(A83="","",SUMIFS(Transacciones!$H$5:$H$1004,Transacciones!$B$5:$B$1004,A83,Transacciones!$D$5:$D$1004,"COMPRA"))</f>
        <v/>
      </c>
      <c r="I83" s="18" t="str">
        <f>IF(A83="","",SUMIFS(Transacciones!$I$5:$I$1004,Transacciones!$B$5:$B$1004,A83,Transacciones!$D$5:$D$1004,"VENTA"))</f>
        <v/>
      </c>
      <c r="J83" s="18" t="str">
        <f t="shared" si="21"/>
        <v/>
      </c>
      <c r="K83" s="18">
        <f t="shared" si="22"/>
        <v>0</v>
      </c>
      <c r="L83" s="7" t="str">
        <f>IF(A83="","",IFERROR(LOOKUP(2,1/(Precios!$B$5:$B$2004=A83),Precios!$A$5:$A$2004),""))</f>
        <v/>
      </c>
      <c r="M83" s="13" t="str">
        <f>IF(A83="","",IFERROR(LOOKUP(2,1/(Precios!$B$5:$B$2004=A83),Precios!$C$5:$C$2004),0))</f>
        <v/>
      </c>
      <c r="N83" s="18" t="str">
        <f t="shared" si="23"/>
        <v/>
      </c>
      <c r="O83" s="18" t="str">
        <f t="shared" si="24"/>
        <v/>
      </c>
      <c r="P83" s="18" t="str">
        <f t="shared" si="25"/>
        <v/>
      </c>
      <c r="Q83" s="18" t="str">
        <f t="shared" si="26"/>
        <v/>
      </c>
      <c r="R83" s="29">
        <f t="shared" si="27"/>
        <v>0</v>
      </c>
      <c r="S83" s="29">
        <f t="shared" si="28"/>
        <v>0</v>
      </c>
      <c r="T83" s="30" t="str">
        <f>IF(A83="","",Activos!E83)</f>
        <v/>
      </c>
      <c r="U83" s="29" t="str">
        <f t="shared" si="29"/>
        <v/>
      </c>
    </row>
    <row r="84" spans="1:21" x14ac:dyDescent="0.3">
      <c r="A84" s="10" t="str">
        <f>IF(Activos!A84="","",Activos!A84)</f>
        <v/>
      </c>
      <c r="B84" s="10" t="str">
        <f>IF(A84="","",Activos!C84)</f>
        <v/>
      </c>
      <c r="C84" s="28" t="str">
        <f>IF(A84="","",SUMIFS(Transacciones!$E$5:$E$1004,Transacciones!$B$5:$B$1004,A84,Transacciones!$D$5:$D$1004,"COMPRA"))</f>
        <v/>
      </c>
      <c r="D84" s="28" t="str">
        <f>IF(A84="","",SUMIFS(Transacciones!$E$5:$E$1004,Transacciones!$B$5:$B$1004,A84,Transacciones!$D$5:$D$1004,"VENTA"))</f>
        <v/>
      </c>
      <c r="E84" s="28" t="str">
        <f>IF(A84="","",SUMIF(Referidos!$C$5:$C$204,A84,Referidos!$D$5:$D$204))</f>
        <v/>
      </c>
      <c r="F84" s="28" t="str">
        <f t="shared" si="20"/>
        <v/>
      </c>
      <c r="G84" s="18" t="str">
        <f>IF(A84="","",SUMIFS(Transacciones!$G$5:$G$1004,Transacciones!$B$5:$B$1004,A84,Transacciones!$D$5:$D$1004,"COMPRA"))</f>
        <v/>
      </c>
      <c r="H84" s="18" t="str">
        <f>IF(A84="","",SUMIFS(Transacciones!$H$5:$H$1004,Transacciones!$B$5:$B$1004,A84,Transacciones!$D$5:$D$1004,"COMPRA"))</f>
        <v/>
      </c>
      <c r="I84" s="18" t="str">
        <f>IF(A84="","",SUMIFS(Transacciones!$I$5:$I$1004,Transacciones!$B$5:$B$1004,A84,Transacciones!$D$5:$D$1004,"VENTA"))</f>
        <v/>
      </c>
      <c r="J84" s="18" t="str">
        <f t="shared" si="21"/>
        <v/>
      </c>
      <c r="K84" s="18">
        <f t="shared" si="22"/>
        <v>0</v>
      </c>
      <c r="L84" s="7" t="str">
        <f>IF(A84="","",IFERROR(LOOKUP(2,1/(Precios!$B$5:$B$2004=A84),Precios!$A$5:$A$2004),""))</f>
        <v/>
      </c>
      <c r="M84" s="13" t="str">
        <f>IF(A84="","",IFERROR(LOOKUP(2,1/(Precios!$B$5:$B$2004=A84),Precios!$C$5:$C$2004),0))</f>
        <v/>
      </c>
      <c r="N84" s="18" t="str">
        <f t="shared" si="23"/>
        <v/>
      </c>
      <c r="O84" s="18" t="str">
        <f t="shared" si="24"/>
        <v/>
      </c>
      <c r="P84" s="18" t="str">
        <f t="shared" si="25"/>
        <v/>
      </c>
      <c r="Q84" s="18" t="str">
        <f t="shared" si="26"/>
        <v/>
      </c>
      <c r="R84" s="29">
        <f t="shared" si="27"/>
        <v>0</v>
      </c>
      <c r="S84" s="29">
        <f t="shared" si="28"/>
        <v>0</v>
      </c>
      <c r="T84" s="30" t="str">
        <f>IF(A84="","",Activos!E84)</f>
        <v/>
      </c>
      <c r="U84" s="29" t="str">
        <f t="shared" si="29"/>
        <v/>
      </c>
    </row>
    <row r="85" spans="1:21" x14ac:dyDescent="0.3">
      <c r="A85" s="10" t="str">
        <f>IF(Activos!A85="","",Activos!A85)</f>
        <v/>
      </c>
      <c r="B85" s="10" t="str">
        <f>IF(A85="","",Activos!C85)</f>
        <v/>
      </c>
      <c r="C85" s="28" t="str">
        <f>IF(A85="","",SUMIFS(Transacciones!$E$5:$E$1004,Transacciones!$B$5:$B$1004,A85,Transacciones!$D$5:$D$1004,"COMPRA"))</f>
        <v/>
      </c>
      <c r="D85" s="28" t="str">
        <f>IF(A85="","",SUMIFS(Transacciones!$E$5:$E$1004,Transacciones!$B$5:$B$1004,A85,Transacciones!$D$5:$D$1004,"VENTA"))</f>
        <v/>
      </c>
      <c r="E85" s="28" t="str">
        <f>IF(A85="","",SUMIF(Referidos!$C$5:$C$204,A85,Referidos!$D$5:$D$204))</f>
        <v/>
      </c>
      <c r="F85" s="28" t="str">
        <f t="shared" si="20"/>
        <v/>
      </c>
      <c r="G85" s="18" t="str">
        <f>IF(A85="","",SUMIFS(Transacciones!$G$5:$G$1004,Transacciones!$B$5:$B$1004,A85,Transacciones!$D$5:$D$1004,"COMPRA"))</f>
        <v/>
      </c>
      <c r="H85" s="18" t="str">
        <f>IF(A85="","",SUMIFS(Transacciones!$H$5:$H$1004,Transacciones!$B$5:$B$1004,A85,Transacciones!$D$5:$D$1004,"COMPRA"))</f>
        <v/>
      </c>
      <c r="I85" s="18" t="str">
        <f>IF(A85="","",SUMIFS(Transacciones!$I$5:$I$1004,Transacciones!$B$5:$B$1004,A85,Transacciones!$D$5:$D$1004,"VENTA"))</f>
        <v/>
      </c>
      <c r="J85" s="18" t="str">
        <f t="shared" si="21"/>
        <v/>
      </c>
      <c r="K85" s="18">
        <f t="shared" si="22"/>
        <v>0</v>
      </c>
      <c r="L85" s="7" t="str">
        <f>IF(A85="","",IFERROR(LOOKUP(2,1/(Precios!$B$5:$B$2004=A85),Precios!$A$5:$A$2004),""))</f>
        <v/>
      </c>
      <c r="M85" s="13" t="str">
        <f>IF(A85="","",IFERROR(LOOKUP(2,1/(Precios!$B$5:$B$2004=A85),Precios!$C$5:$C$2004),0))</f>
        <v/>
      </c>
      <c r="N85" s="18" t="str">
        <f t="shared" si="23"/>
        <v/>
      </c>
      <c r="O85" s="18" t="str">
        <f t="shared" si="24"/>
        <v/>
      </c>
      <c r="P85" s="18" t="str">
        <f t="shared" si="25"/>
        <v/>
      </c>
      <c r="Q85" s="18" t="str">
        <f t="shared" si="26"/>
        <v/>
      </c>
      <c r="R85" s="29">
        <f t="shared" si="27"/>
        <v>0</v>
      </c>
      <c r="S85" s="29">
        <f t="shared" si="28"/>
        <v>0</v>
      </c>
      <c r="T85" s="30" t="str">
        <f>IF(A85="","",Activos!E85)</f>
        <v/>
      </c>
      <c r="U85" s="29" t="str">
        <f t="shared" si="29"/>
        <v/>
      </c>
    </row>
    <row r="86" spans="1:21" x14ac:dyDescent="0.3">
      <c r="A86" s="10" t="str">
        <f>IF(Activos!A86="","",Activos!A86)</f>
        <v/>
      </c>
      <c r="B86" s="10" t="str">
        <f>IF(A86="","",Activos!C86)</f>
        <v/>
      </c>
      <c r="C86" s="28" t="str">
        <f>IF(A86="","",SUMIFS(Transacciones!$E$5:$E$1004,Transacciones!$B$5:$B$1004,A86,Transacciones!$D$5:$D$1004,"COMPRA"))</f>
        <v/>
      </c>
      <c r="D86" s="28" t="str">
        <f>IF(A86="","",SUMIFS(Transacciones!$E$5:$E$1004,Transacciones!$B$5:$B$1004,A86,Transacciones!$D$5:$D$1004,"VENTA"))</f>
        <v/>
      </c>
      <c r="E86" s="28" t="str">
        <f>IF(A86="","",SUMIF(Referidos!$C$5:$C$204,A86,Referidos!$D$5:$D$204))</f>
        <v/>
      </c>
      <c r="F86" s="28" t="str">
        <f t="shared" si="20"/>
        <v/>
      </c>
      <c r="G86" s="18" t="str">
        <f>IF(A86="","",SUMIFS(Transacciones!$G$5:$G$1004,Transacciones!$B$5:$B$1004,A86,Transacciones!$D$5:$D$1004,"COMPRA"))</f>
        <v/>
      </c>
      <c r="H86" s="18" t="str">
        <f>IF(A86="","",SUMIFS(Transacciones!$H$5:$H$1004,Transacciones!$B$5:$B$1004,A86,Transacciones!$D$5:$D$1004,"COMPRA"))</f>
        <v/>
      </c>
      <c r="I86" s="18" t="str">
        <f>IF(A86="","",SUMIFS(Transacciones!$I$5:$I$1004,Transacciones!$B$5:$B$1004,A86,Transacciones!$D$5:$D$1004,"VENTA"))</f>
        <v/>
      </c>
      <c r="J86" s="18" t="str">
        <f t="shared" si="21"/>
        <v/>
      </c>
      <c r="K86" s="18">
        <f t="shared" si="22"/>
        <v>0</v>
      </c>
      <c r="L86" s="7" t="str">
        <f>IF(A86="","",IFERROR(LOOKUP(2,1/(Precios!$B$5:$B$2004=A86),Precios!$A$5:$A$2004),""))</f>
        <v/>
      </c>
      <c r="M86" s="13" t="str">
        <f>IF(A86="","",IFERROR(LOOKUP(2,1/(Precios!$B$5:$B$2004=A86),Precios!$C$5:$C$2004),0))</f>
        <v/>
      </c>
      <c r="N86" s="18" t="str">
        <f t="shared" si="23"/>
        <v/>
      </c>
      <c r="O86" s="18" t="str">
        <f t="shared" si="24"/>
        <v/>
      </c>
      <c r="P86" s="18" t="str">
        <f t="shared" si="25"/>
        <v/>
      </c>
      <c r="Q86" s="18" t="str">
        <f t="shared" si="26"/>
        <v/>
      </c>
      <c r="R86" s="29">
        <f t="shared" si="27"/>
        <v>0</v>
      </c>
      <c r="S86" s="29">
        <f t="shared" si="28"/>
        <v>0</v>
      </c>
      <c r="T86" s="30" t="str">
        <f>IF(A86="","",Activos!E86)</f>
        <v/>
      </c>
      <c r="U86" s="29" t="str">
        <f t="shared" si="29"/>
        <v/>
      </c>
    </row>
    <row r="87" spans="1:21" x14ac:dyDescent="0.3">
      <c r="A87" s="10" t="str">
        <f>IF(Activos!A87="","",Activos!A87)</f>
        <v/>
      </c>
      <c r="B87" s="10" t="str">
        <f>IF(A87="","",Activos!C87)</f>
        <v/>
      </c>
      <c r="C87" s="28" t="str">
        <f>IF(A87="","",SUMIFS(Transacciones!$E$5:$E$1004,Transacciones!$B$5:$B$1004,A87,Transacciones!$D$5:$D$1004,"COMPRA"))</f>
        <v/>
      </c>
      <c r="D87" s="28" t="str">
        <f>IF(A87="","",SUMIFS(Transacciones!$E$5:$E$1004,Transacciones!$B$5:$B$1004,A87,Transacciones!$D$5:$D$1004,"VENTA"))</f>
        <v/>
      </c>
      <c r="E87" s="28" t="str">
        <f>IF(A87="","",SUMIF(Referidos!$C$5:$C$204,A87,Referidos!$D$5:$D$204))</f>
        <v/>
      </c>
      <c r="F87" s="28" t="str">
        <f t="shared" si="20"/>
        <v/>
      </c>
      <c r="G87" s="18" t="str">
        <f>IF(A87="","",SUMIFS(Transacciones!$G$5:$G$1004,Transacciones!$B$5:$B$1004,A87,Transacciones!$D$5:$D$1004,"COMPRA"))</f>
        <v/>
      </c>
      <c r="H87" s="18" t="str">
        <f>IF(A87="","",SUMIFS(Transacciones!$H$5:$H$1004,Transacciones!$B$5:$B$1004,A87,Transacciones!$D$5:$D$1004,"COMPRA"))</f>
        <v/>
      </c>
      <c r="I87" s="18" t="str">
        <f>IF(A87="","",SUMIFS(Transacciones!$I$5:$I$1004,Transacciones!$B$5:$B$1004,A87,Transacciones!$D$5:$D$1004,"VENTA"))</f>
        <v/>
      </c>
      <c r="J87" s="18" t="str">
        <f t="shared" si="21"/>
        <v/>
      </c>
      <c r="K87" s="18">
        <f t="shared" si="22"/>
        <v>0</v>
      </c>
      <c r="L87" s="7" t="str">
        <f>IF(A87="","",IFERROR(LOOKUP(2,1/(Precios!$B$5:$B$2004=A87),Precios!$A$5:$A$2004),""))</f>
        <v/>
      </c>
      <c r="M87" s="13" t="str">
        <f>IF(A87="","",IFERROR(LOOKUP(2,1/(Precios!$B$5:$B$2004=A87),Precios!$C$5:$C$2004),0))</f>
        <v/>
      </c>
      <c r="N87" s="18" t="str">
        <f t="shared" si="23"/>
        <v/>
      </c>
      <c r="O87" s="18" t="str">
        <f t="shared" si="24"/>
        <v/>
      </c>
      <c r="P87" s="18" t="str">
        <f t="shared" si="25"/>
        <v/>
      </c>
      <c r="Q87" s="18" t="str">
        <f t="shared" si="26"/>
        <v/>
      </c>
      <c r="R87" s="29">
        <f t="shared" si="27"/>
        <v>0</v>
      </c>
      <c r="S87" s="29">
        <f t="shared" si="28"/>
        <v>0</v>
      </c>
      <c r="T87" s="30" t="str">
        <f>IF(A87="","",Activos!E87)</f>
        <v/>
      </c>
      <c r="U87" s="29" t="str">
        <f t="shared" si="29"/>
        <v/>
      </c>
    </row>
    <row r="88" spans="1:21" x14ac:dyDescent="0.3">
      <c r="A88" s="10" t="str">
        <f>IF(Activos!A88="","",Activos!A88)</f>
        <v/>
      </c>
      <c r="B88" s="10" t="str">
        <f>IF(A88="","",Activos!C88)</f>
        <v/>
      </c>
      <c r="C88" s="28" t="str">
        <f>IF(A88="","",SUMIFS(Transacciones!$E$5:$E$1004,Transacciones!$B$5:$B$1004,A88,Transacciones!$D$5:$D$1004,"COMPRA"))</f>
        <v/>
      </c>
      <c r="D88" s="28" t="str">
        <f>IF(A88="","",SUMIFS(Transacciones!$E$5:$E$1004,Transacciones!$B$5:$B$1004,A88,Transacciones!$D$5:$D$1004,"VENTA"))</f>
        <v/>
      </c>
      <c r="E88" s="28" t="str">
        <f>IF(A88="","",SUMIF(Referidos!$C$5:$C$204,A88,Referidos!$D$5:$D$204))</f>
        <v/>
      </c>
      <c r="F88" s="28" t="str">
        <f t="shared" si="20"/>
        <v/>
      </c>
      <c r="G88" s="18" t="str">
        <f>IF(A88="","",SUMIFS(Transacciones!$G$5:$G$1004,Transacciones!$B$5:$B$1004,A88,Transacciones!$D$5:$D$1004,"COMPRA"))</f>
        <v/>
      </c>
      <c r="H88" s="18" t="str">
        <f>IF(A88="","",SUMIFS(Transacciones!$H$5:$H$1004,Transacciones!$B$5:$B$1004,A88,Transacciones!$D$5:$D$1004,"COMPRA"))</f>
        <v/>
      </c>
      <c r="I88" s="18" t="str">
        <f>IF(A88="","",SUMIFS(Transacciones!$I$5:$I$1004,Transacciones!$B$5:$B$1004,A88,Transacciones!$D$5:$D$1004,"VENTA"))</f>
        <v/>
      </c>
      <c r="J88" s="18" t="str">
        <f t="shared" si="21"/>
        <v/>
      </c>
      <c r="K88" s="18">
        <f t="shared" si="22"/>
        <v>0</v>
      </c>
      <c r="L88" s="7" t="str">
        <f>IF(A88="","",IFERROR(LOOKUP(2,1/(Precios!$B$5:$B$2004=A88),Precios!$A$5:$A$2004),""))</f>
        <v/>
      </c>
      <c r="M88" s="13" t="str">
        <f>IF(A88="","",IFERROR(LOOKUP(2,1/(Precios!$B$5:$B$2004=A88),Precios!$C$5:$C$2004),0))</f>
        <v/>
      </c>
      <c r="N88" s="18" t="str">
        <f t="shared" si="23"/>
        <v/>
      </c>
      <c r="O88" s="18" t="str">
        <f t="shared" si="24"/>
        <v/>
      </c>
      <c r="P88" s="18" t="str">
        <f t="shared" si="25"/>
        <v/>
      </c>
      <c r="Q88" s="18" t="str">
        <f t="shared" si="26"/>
        <v/>
      </c>
      <c r="R88" s="29">
        <f t="shared" si="27"/>
        <v>0</v>
      </c>
      <c r="S88" s="29">
        <f t="shared" si="28"/>
        <v>0</v>
      </c>
      <c r="T88" s="30" t="str">
        <f>IF(A88="","",Activos!E88)</f>
        <v/>
      </c>
      <c r="U88" s="29" t="str">
        <f t="shared" si="29"/>
        <v/>
      </c>
    </row>
    <row r="89" spans="1:21" x14ac:dyDescent="0.3">
      <c r="A89" s="10" t="str">
        <f>IF(Activos!A89="","",Activos!A89)</f>
        <v/>
      </c>
      <c r="B89" s="10" t="str">
        <f>IF(A89="","",Activos!C89)</f>
        <v/>
      </c>
      <c r="C89" s="28" t="str">
        <f>IF(A89="","",SUMIFS(Transacciones!$E$5:$E$1004,Transacciones!$B$5:$B$1004,A89,Transacciones!$D$5:$D$1004,"COMPRA"))</f>
        <v/>
      </c>
      <c r="D89" s="28" t="str">
        <f>IF(A89="","",SUMIFS(Transacciones!$E$5:$E$1004,Transacciones!$B$5:$B$1004,A89,Transacciones!$D$5:$D$1004,"VENTA"))</f>
        <v/>
      </c>
      <c r="E89" s="28" t="str">
        <f>IF(A89="","",SUMIF(Referidos!$C$5:$C$204,A89,Referidos!$D$5:$D$204))</f>
        <v/>
      </c>
      <c r="F89" s="28" t="str">
        <f t="shared" si="20"/>
        <v/>
      </c>
      <c r="G89" s="18" t="str">
        <f>IF(A89="","",SUMIFS(Transacciones!$G$5:$G$1004,Transacciones!$B$5:$B$1004,A89,Transacciones!$D$5:$D$1004,"COMPRA"))</f>
        <v/>
      </c>
      <c r="H89" s="18" t="str">
        <f>IF(A89="","",SUMIFS(Transacciones!$H$5:$H$1004,Transacciones!$B$5:$B$1004,A89,Transacciones!$D$5:$D$1004,"COMPRA"))</f>
        <v/>
      </c>
      <c r="I89" s="18" t="str">
        <f>IF(A89="","",SUMIFS(Transacciones!$I$5:$I$1004,Transacciones!$B$5:$B$1004,A89,Transacciones!$D$5:$D$1004,"VENTA"))</f>
        <v/>
      </c>
      <c r="J89" s="18" t="str">
        <f t="shared" si="21"/>
        <v/>
      </c>
      <c r="K89" s="18">
        <f t="shared" si="22"/>
        <v>0</v>
      </c>
      <c r="L89" s="7" t="str">
        <f>IF(A89="","",IFERROR(LOOKUP(2,1/(Precios!$B$5:$B$2004=A89),Precios!$A$5:$A$2004),""))</f>
        <v/>
      </c>
      <c r="M89" s="13" t="str">
        <f>IF(A89="","",IFERROR(LOOKUP(2,1/(Precios!$B$5:$B$2004=A89),Precios!$C$5:$C$2004),0))</f>
        <v/>
      </c>
      <c r="N89" s="18" t="str">
        <f t="shared" si="23"/>
        <v/>
      </c>
      <c r="O89" s="18" t="str">
        <f t="shared" si="24"/>
        <v/>
      </c>
      <c r="P89" s="18" t="str">
        <f t="shared" si="25"/>
        <v/>
      </c>
      <c r="Q89" s="18" t="str">
        <f t="shared" si="26"/>
        <v/>
      </c>
      <c r="R89" s="29">
        <f t="shared" si="27"/>
        <v>0</v>
      </c>
      <c r="S89" s="29">
        <f t="shared" si="28"/>
        <v>0</v>
      </c>
      <c r="T89" s="30" t="str">
        <f>IF(A89="","",Activos!E89)</f>
        <v/>
      </c>
      <c r="U89" s="29" t="str">
        <f t="shared" si="29"/>
        <v/>
      </c>
    </row>
    <row r="90" spans="1:21" x14ac:dyDescent="0.3">
      <c r="A90" s="10" t="str">
        <f>IF(Activos!A90="","",Activos!A90)</f>
        <v/>
      </c>
      <c r="B90" s="10" t="str">
        <f>IF(A90="","",Activos!C90)</f>
        <v/>
      </c>
      <c r="C90" s="28" t="str">
        <f>IF(A90="","",SUMIFS(Transacciones!$E$5:$E$1004,Transacciones!$B$5:$B$1004,A90,Transacciones!$D$5:$D$1004,"COMPRA"))</f>
        <v/>
      </c>
      <c r="D90" s="28" t="str">
        <f>IF(A90="","",SUMIFS(Transacciones!$E$5:$E$1004,Transacciones!$B$5:$B$1004,A90,Transacciones!$D$5:$D$1004,"VENTA"))</f>
        <v/>
      </c>
      <c r="E90" s="28" t="str">
        <f>IF(A90="","",SUMIF(Referidos!$C$5:$C$204,A90,Referidos!$D$5:$D$204))</f>
        <v/>
      </c>
      <c r="F90" s="28" t="str">
        <f t="shared" si="20"/>
        <v/>
      </c>
      <c r="G90" s="18" t="str">
        <f>IF(A90="","",SUMIFS(Transacciones!$G$5:$G$1004,Transacciones!$B$5:$B$1004,A90,Transacciones!$D$5:$D$1004,"COMPRA"))</f>
        <v/>
      </c>
      <c r="H90" s="18" t="str">
        <f>IF(A90="","",SUMIFS(Transacciones!$H$5:$H$1004,Transacciones!$B$5:$B$1004,A90,Transacciones!$D$5:$D$1004,"COMPRA"))</f>
        <v/>
      </c>
      <c r="I90" s="18" t="str">
        <f>IF(A90="","",SUMIFS(Transacciones!$I$5:$I$1004,Transacciones!$B$5:$B$1004,A90,Transacciones!$D$5:$D$1004,"VENTA"))</f>
        <v/>
      </c>
      <c r="J90" s="18" t="str">
        <f t="shared" si="21"/>
        <v/>
      </c>
      <c r="K90" s="18">
        <f t="shared" si="22"/>
        <v>0</v>
      </c>
      <c r="L90" s="7" t="str">
        <f>IF(A90="","",IFERROR(LOOKUP(2,1/(Precios!$B$5:$B$2004=A90),Precios!$A$5:$A$2004),""))</f>
        <v/>
      </c>
      <c r="M90" s="13" t="str">
        <f>IF(A90="","",IFERROR(LOOKUP(2,1/(Precios!$B$5:$B$2004=A90),Precios!$C$5:$C$2004),0))</f>
        <v/>
      </c>
      <c r="N90" s="18" t="str">
        <f t="shared" si="23"/>
        <v/>
      </c>
      <c r="O90" s="18" t="str">
        <f t="shared" si="24"/>
        <v/>
      </c>
      <c r="P90" s="18" t="str">
        <f t="shared" si="25"/>
        <v/>
      </c>
      <c r="Q90" s="18" t="str">
        <f t="shared" si="26"/>
        <v/>
      </c>
      <c r="R90" s="29">
        <f t="shared" si="27"/>
        <v>0</v>
      </c>
      <c r="S90" s="29">
        <f t="shared" si="28"/>
        <v>0</v>
      </c>
      <c r="T90" s="30" t="str">
        <f>IF(A90="","",Activos!E90)</f>
        <v/>
      </c>
      <c r="U90" s="29" t="str">
        <f t="shared" si="29"/>
        <v/>
      </c>
    </row>
    <row r="91" spans="1:21" x14ac:dyDescent="0.3">
      <c r="A91" s="10" t="str">
        <f>IF(Activos!A91="","",Activos!A91)</f>
        <v/>
      </c>
      <c r="B91" s="10" t="str">
        <f>IF(A91="","",Activos!C91)</f>
        <v/>
      </c>
      <c r="C91" s="28" t="str">
        <f>IF(A91="","",SUMIFS(Transacciones!$E$5:$E$1004,Transacciones!$B$5:$B$1004,A91,Transacciones!$D$5:$D$1004,"COMPRA"))</f>
        <v/>
      </c>
      <c r="D91" s="28" t="str">
        <f>IF(A91="","",SUMIFS(Transacciones!$E$5:$E$1004,Transacciones!$B$5:$B$1004,A91,Transacciones!$D$5:$D$1004,"VENTA"))</f>
        <v/>
      </c>
      <c r="E91" s="28" t="str">
        <f>IF(A91="","",SUMIF(Referidos!$C$5:$C$204,A91,Referidos!$D$5:$D$204))</f>
        <v/>
      </c>
      <c r="F91" s="28" t="str">
        <f t="shared" si="20"/>
        <v/>
      </c>
      <c r="G91" s="18" t="str">
        <f>IF(A91="","",SUMIFS(Transacciones!$G$5:$G$1004,Transacciones!$B$5:$B$1004,A91,Transacciones!$D$5:$D$1004,"COMPRA"))</f>
        <v/>
      </c>
      <c r="H91" s="18" t="str">
        <f>IF(A91="","",SUMIFS(Transacciones!$H$5:$H$1004,Transacciones!$B$5:$B$1004,A91,Transacciones!$D$5:$D$1004,"COMPRA"))</f>
        <v/>
      </c>
      <c r="I91" s="18" t="str">
        <f>IF(A91="","",SUMIFS(Transacciones!$I$5:$I$1004,Transacciones!$B$5:$B$1004,A91,Transacciones!$D$5:$D$1004,"VENTA"))</f>
        <v/>
      </c>
      <c r="J91" s="18" t="str">
        <f t="shared" si="21"/>
        <v/>
      </c>
      <c r="K91" s="18">
        <f t="shared" si="22"/>
        <v>0</v>
      </c>
      <c r="L91" s="7" t="str">
        <f>IF(A91="","",IFERROR(LOOKUP(2,1/(Precios!$B$5:$B$2004=A91),Precios!$A$5:$A$2004),""))</f>
        <v/>
      </c>
      <c r="M91" s="13" t="str">
        <f>IF(A91="","",IFERROR(LOOKUP(2,1/(Precios!$B$5:$B$2004=A91),Precios!$C$5:$C$2004),0))</f>
        <v/>
      </c>
      <c r="N91" s="18" t="str">
        <f t="shared" si="23"/>
        <v/>
      </c>
      <c r="O91" s="18" t="str">
        <f t="shared" si="24"/>
        <v/>
      </c>
      <c r="P91" s="18" t="str">
        <f t="shared" si="25"/>
        <v/>
      </c>
      <c r="Q91" s="18" t="str">
        <f t="shared" si="26"/>
        <v/>
      </c>
      <c r="R91" s="29">
        <f t="shared" si="27"/>
        <v>0</v>
      </c>
      <c r="S91" s="29">
        <f t="shared" si="28"/>
        <v>0</v>
      </c>
      <c r="T91" s="30" t="str">
        <f>IF(A91="","",Activos!E91)</f>
        <v/>
      </c>
      <c r="U91" s="29" t="str">
        <f t="shared" si="29"/>
        <v/>
      </c>
    </row>
    <row r="92" spans="1:21" x14ac:dyDescent="0.3">
      <c r="A92" s="10" t="str">
        <f>IF(Activos!A92="","",Activos!A92)</f>
        <v/>
      </c>
      <c r="B92" s="10" t="str">
        <f>IF(A92="","",Activos!C92)</f>
        <v/>
      </c>
      <c r="C92" s="28" t="str">
        <f>IF(A92="","",SUMIFS(Transacciones!$E$5:$E$1004,Transacciones!$B$5:$B$1004,A92,Transacciones!$D$5:$D$1004,"COMPRA"))</f>
        <v/>
      </c>
      <c r="D92" s="28" t="str">
        <f>IF(A92="","",SUMIFS(Transacciones!$E$5:$E$1004,Transacciones!$B$5:$B$1004,A92,Transacciones!$D$5:$D$1004,"VENTA"))</f>
        <v/>
      </c>
      <c r="E92" s="28" t="str">
        <f>IF(A92="","",SUMIF(Referidos!$C$5:$C$204,A92,Referidos!$D$5:$D$204))</f>
        <v/>
      </c>
      <c r="F92" s="28" t="str">
        <f t="shared" si="20"/>
        <v/>
      </c>
      <c r="G92" s="18" t="str">
        <f>IF(A92="","",SUMIFS(Transacciones!$G$5:$G$1004,Transacciones!$B$5:$B$1004,A92,Transacciones!$D$5:$D$1004,"COMPRA"))</f>
        <v/>
      </c>
      <c r="H92" s="18" t="str">
        <f>IF(A92="","",SUMIFS(Transacciones!$H$5:$H$1004,Transacciones!$B$5:$B$1004,A92,Transacciones!$D$5:$D$1004,"COMPRA"))</f>
        <v/>
      </c>
      <c r="I92" s="18" t="str">
        <f>IF(A92="","",SUMIFS(Transacciones!$I$5:$I$1004,Transacciones!$B$5:$B$1004,A92,Transacciones!$D$5:$D$1004,"VENTA"))</f>
        <v/>
      </c>
      <c r="J92" s="18" t="str">
        <f t="shared" si="21"/>
        <v/>
      </c>
      <c r="K92" s="18">
        <f t="shared" si="22"/>
        <v>0</v>
      </c>
      <c r="L92" s="7" t="str">
        <f>IF(A92="","",IFERROR(LOOKUP(2,1/(Precios!$B$5:$B$2004=A92),Precios!$A$5:$A$2004),""))</f>
        <v/>
      </c>
      <c r="M92" s="13" t="str">
        <f>IF(A92="","",IFERROR(LOOKUP(2,1/(Precios!$B$5:$B$2004=A92),Precios!$C$5:$C$2004),0))</f>
        <v/>
      </c>
      <c r="N92" s="18" t="str">
        <f t="shared" si="23"/>
        <v/>
      </c>
      <c r="O92" s="18" t="str">
        <f t="shared" si="24"/>
        <v/>
      </c>
      <c r="P92" s="18" t="str">
        <f t="shared" si="25"/>
        <v/>
      </c>
      <c r="Q92" s="18" t="str">
        <f t="shared" si="26"/>
        <v/>
      </c>
      <c r="R92" s="29">
        <f t="shared" si="27"/>
        <v>0</v>
      </c>
      <c r="S92" s="29">
        <f t="shared" si="28"/>
        <v>0</v>
      </c>
      <c r="T92" s="30" t="str">
        <f>IF(A92="","",Activos!E92)</f>
        <v/>
      </c>
      <c r="U92" s="29" t="str">
        <f t="shared" si="29"/>
        <v/>
      </c>
    </row>
    <row r="93" spans="1:21" x14ac:dyDescent="0.3">
      <c r="A93" s="10" t="str">
        <f>IF(Activos!A93="","",Activos!A93)</f>
        <v/>
      </c>
      <c r="B93" s="10" t="str">
        <f>IF(A93="","",Activos!C93)</f>
        <v/>
      </c>
      <c r="C93" s="28" t="str">
        <f>IF(A93="","",SUMIFS(Transacciones!$E$5:$E$1004,Transacciones!$B$5:$B$1004,A93,Transacciones!$D$5:$D$1004,"COMPRA"))</f>
        <v/>
      </c>
      <c r="D93" s="28" t="str">
        <f>IF(A93="","",SUMIFS(Transacciones!$E$5:$E$1004,Transacciones!$B$5:$B$1004,A93,Transacciones!$D$5:$D$1004,"VENTA"))</f>
        <v/>
      </c>
      <c r="E93" s="28" t="str">
        <f>IF(A93="","",SUMIF(Referidos!$C$5:$C$204,A93,Referidos!$D$5:$D$204))</f>
        <v/>
      </c>
      <c r="F93" s="28" t="str">
        <f t="shared" si="20"/>
        <v/>
      </c>
      <c r="G93" s="18" t="str">
        <f>IF(A93="","",SUMIFS(Transacciones!$G$5:$G$1004,Transacciones!$B$5:$B$1004,A93,Transacciones!$D$5:$D$1004,"COMPRA"))</f>
        <v/>
      </c>
      <c r="H93" s="18" t="str">
        <f>IF(A93="","",SUMIFS(Transacciones!$H$5:$H$1004,Transacciones!$B$5:$B$1004,A93,Transacciones!$D$5:$D$1004,"COMPRA"))</f>
        <v/>
      </c>
      <c r="I93" s="18" t="str">
        <f>IF(A93="","",SUMIFS(Transacciones!$I$5:$I$1004,Transacciones!$B$5:$B$1004,A93,Transacciones!$D$5:$D$1004,"VENTA"))</f>
        <v/>
      </c>
      <c r="J93" s="18" t="str">
        <f t="shared" si="21"/>
        <v/>
      </c>
      <c r="K93" s="18">
        <f t="shared" si="22"/>
        <v>0</v>
      </c>
      <c r="L93" s="7" t="str">
        <f>IF(A93="","",IFERROR(LOOKUP(2,1/(Precios!$B$5:$B$2004=A93),Precios!$A$5:$A$2004),""))</f>
        <v/>
      </c>
      <c r="M93" s="13" t="str">
        <f>IF(A93="","",IFERROR(LOOKUP(2,1/(Precios!$B$5:$B$2004=A93),Precios!$C$5:$C$2004),0))</f>
        <v/>
      </c>
      <c r="N93" s="18" t="str">
        <f t="shared" si="23"/>
        <v/>
      </c>
      <c r="O93" s="18" t="str">
        <f t="shared" si="24"/>
        <v/>
      </c>
      <c r="P93" s="18" t="str">
        <f t="shared" si="25"/>
        <v/>
      </c>
      <c r="Q93" s="18" t="str">
        <f t="shared" si="26"/>
        <v/>
      </c>
      <c r="R93" s="29">
        <f t="shared" si="27"/>
        <v>0</v>
      </c>
      <c r="S93" s="29">
        <f t="shared" si="28"/>
        <v>0</v>
      </c>
      <c r="T93" s="30" t="str">
        <f>IF(A93="","",Activos!E93)</f>
        <v/>
      </c>
      <c r="U93" s="29" t="str">
        <f t="shared" si="29"/>
        <v/>
      </c>
    </row>
    <row r="94" spans="1:21" x14ac:dyDescent="0.3">
      <c r="A94" s="10" t="str">
        <f>IF(Activos!A94="","",Activos!A94)</f>
        <v/>
      </c>
      <c r="B94" s="10" t="str">
        <f>IF(A94="","",Activos!C94)</f>
        <v/>
      </c>
      <c r="C94" s="28" t="str">
        <f>IF(A94="","",SUMIFS(Transacciones!$E$5:$E$1004,Transacciones!$B$5:$B$1004,A94,Transacciones!$D$5:$D$1004,"COMPRA"))</f>
        <v/>
      </c>
      <c r="D94" s="28" t="str">
        <f>IF(A94="","",SUMIFS(Transacciones!$E$5:$E$1004,Transacciones!$B$5:$B$1004,A94,Transacciones!$D$5:$D$1004,"VENTA"))</f>
        <v/>
      </c>
      <c r="E94" s="28" t="str">
        <f>IF(A94="","",SUMIF(Referidos!$C$5:$C$204,A94,Referidos!$D$5:$D$204))</f>
        <v/>
      </c>
      <c r="F94" s="28" t="str">
        <f t="shared" si="20"/>
        <v/>
      </c>
      <c r="G94" s="18" t="str">
        <f>IF(A94="","",SUMIFS(Transacciones!$G$5:$G$1004,Transacciones!$B$5:$B$1004,A94,Transacciones!$D$5:$D$1004,"COMPRA"))</f>
        <v/>
      </c>
      <c r="H94" s="18" t="str">
        <f>IF(A94="","",SUMIFS(Transacciones!$H$5:$H$1004,Transacciones!$B$5:$B$1004,A94,Transacciones!$D$5:$D$1004,"COMPRA"))</f>
        <v/>
      </c>
      <c r="I94" s="18" t="str">
        <f>IF(A94="","",SUMIFS(Transacciones!$I$5:$I$1004,Transacciones!$B$5:$B$1004,A94,Transacciones!$D$5:$D$1004,"VENTA"))</f>
        <v/>
      </c>
      <c r="J94" s="18" t="str">
        <f t="shared" si="21"/>
        <v/>
      </c>
      <c r="K94" s="18">
        <f t="shared" si="22"/>
        <v>0</v>
      </c>
      <c r="L94" s="7" t="str">
        <f>IF(A94="","",IFERROR(LOOKUP(2,1/(Precios!$B$5:$B$2004=A94),Precios!$A$5:$A$2004),""))</f>
        <v/>
      </c>
      <c r="M94" s="13" t="str">
        <f>IF(A94="","",IFERROR(LOOKUP(2,1/(Precios!$B$5:$B$2004=A94),Precios!$C$5:$C$2004),0))</f>
        <v/>
      </c>
      <c r="N94" s="18" t="str">
        <f t="shared" si="23"/>
        <v/>
      </c>
      <c r="O94" s="18" t="str">
        <f t="shared" si="24"/>
        <v/>
      </c>
      <c r="P94" s="18" t="str">
        <f t="shared" si="25"/>
        <v/>
      </c>
      <c r="Q94" s="18" t="str">
        <f t="shared" si="26"/>
        <v/>
      </c>
      <c r="R94" s="29">
        <f t="shared" si="27"/>
        <v>0</v>
      </c>
      <c r="S94" s="29">
        <f t="shared" si="28"/>
        <v>0</v>
      </c>
      <c r="T94" s="30" t="str">
        <f>IF(A94="","",Activos!E94)</f>
        <v/>
      </c>
      <c r="U94" s="29" t="str">
        <f t="shared" si="29"/>
        <v/>
      </c>
    </row>
    <row r="95" spans="1:21" x14ac:dyDescent="0.3">
      <c r="A95" s="10" t="str">
        <f>IF(Activos!A95="","",Activos!A95)</f>
        <v/>
      </c>
      <c r="B95" s="10" t="str">
        <f>IF(A95="","",Activos!C95)</f>
        <v/>
      </c>
      <c r="C95" s="28" t="str">
        <f>IF(A95="","",SUMIFS(Transacciones!$E$5:$E$1004,Transacciones!$B$5:$B$1004,A95,Transacciones!$D$5:$D$1004,"COMPRA"))</f>
        <v/>
      </c>
      <c r="D95" s="28" t="str">
        <f>IF(A95="","",SUMIFS(Transacciones!$E$5:$E$1004,Transacciones!$B$5:$B$1004,A95,Transacciones!$D$5:$D$1004,"VENTA"))</f>
        <v/>
      </c>
      <c r="E95" s="28" t="str">
        <f>IF(A95="","",SUMIF(Referidos!$C$5:$C$204,A95,Referidos!$D$5:$D$204))</f>
        <v/>
      </c>
      <c r="F95" s="28" t="str">
        <f t="shared" si="20"/>
        <v/>
      </c>
      <c r="G95" s="18" t="str">
        <f>IF(A95="","",SUMIFS(Transacciones!$G$5:$G$1004,Transacciones!$B$5:$B$1004,A95,Transacciones!$D$5:$D$1004,"COMPRA"))</f>
        <v/>
      </c>
      <c r="H95" s="18" t="str">
        <f>IF(A95="","",SUMIFS(Transacciones!$H$5:$H$1004,Transacciones!$B$5:$B$1004,A95,Transacciones!$D$5:$D$1004,"COMPRA"))</f>
        <v/>
      </c>
      <c r="I95" s="18" t="str">
        <f>IF(A95="","",SUMIFS(Transacciones!$I$5:$I$1004,Transacciones!$B$5:$B$1004,A95,Transacciones!$D$5:$D$1004,"VENTA"))</f>
        <v/>
      </c>
      <c r="J95" s="18" t="str">
        <f t="shared" si="21"/>
        <v/>
      </c>
      <c r="K95" s="18">
        <f t="shared" si="22"/>
        <v>0</v>
      </c>
      <c r="L95" s="7" t="str">
        <f>IF(A95="","",IFERROR(LOOKUP(2,1/(Precios!$B$5:$B$2004=A95),Precios!$A$5:$A$2004),""))</f>
        <v/>
      </c>
      <c r="M95" s="13" t="str">
        <f>IF(A95="","",IFERROR(LOOKUP(2,1/(Precios!$B$5:$B$2004=A95),Precios!$C$5:$C$2004),0))</f>
        <v/>
      </c>
      <c r="N95" s="18" t="str">
        <f t="shared" si="23"/>
        <v/>
      </c>
      <c r="O95" s="18" t="str">
        <f t="shared" si="24"/>
        <v/>
      </c>
      <c r="P95" s="18" t="str">
        <f t="shared" si="25"/>
        <v/>
      </c>
      <c r="Q95" s="18" t="str">
        <f t="shared" si="26"/>
        <v/>
      </c>
      <c r="R95" s="29">
        <f t="shared" si="27"/>
        <v>0</v>
      </c>
      <c r="S95" s="29">
        <f t="shared" si="28"/>
        <v>0</v>
      </c>
      <c r="T95" s="30" t="str">
        <f>IF(A95="","",Activos!E95)</f>
        <v/>
      </c>
      <c r="U95" s="29" t="str">
        <f t="shared" si="29"/>
        <v/>
      </c>
    </row>
    <row r="96" spans="1:21" x14ac:dyDescent="0.3">
      <c r="A96" s="10" t="str">
        <f>IF(Activos!A96="","",Activos!A96)</f>
        <v/>
      </c>
      <c r="B96" s="10" t="str">
        <f>IF(A96="","",Activos!C96)</f>
        <v/>
      </c>
      <c r="C96" s="28" t="str">
        <f>IF(A96="","",SUMIFS(Transacciones!$E$5:$E$1004,Transacciones!$B$5:$B$1004,A96,Transacciones!$D$5:$D$1004,"COMPRA"))</f>
        <v/>
      </c>
      <c r="D96" s="28" t="str">
        <f>IF(A96="","",SUMIFS(Transacciones!$E$5:$E$1004,Transacciones!$B$5:$B$1004,A96,Transacciones!$D$5:$D$1004,"VENTA"))</f>
        <v/>
      </c>
      <c r="E96" s="28" t="str">
        <f>IF(A96="","",SUMIF(Referidos!$C$5:$C$204,A96,Referidos!$D$5:$D$204))</f>
        <v/>
      </c>
      <c r="F96" s="28" t="str">
        <f t="shared" si="20"/>
        <v/>
      </c>
      <c r="G96" s="18" t="str">
        <f>IF(A96="","",SUMIFS(Transacciones!$G$5:$G$1004,Transacciones!$B$5:$B$1004,A96,Transacciones!$D$5:$D$1004,"COMPRA"))</f>
        <v/>
      </c>
      <c r="H96" s="18" t="str">
        <f>IF(A96="","",SUMIFS(Transacciones!$H$5:$H$1004,Transacciones!$B$5:$B$1004,A96,Transacciones!$D$5:$D$1004,"COMPRA"))</f>
        <v/>
      </c>
      <c r="I96" s="18" t="str">
        <f>IF(A96="","",SUMIFS(Transacciones!$I$5:$I$1004,Transacciones!$B$5:$B$1004,A96,Transacciones!$D$5:$D$1004,"VENTA"))</f>
        <v/>
      </c>
      <c r="J96" s="18" t="str">
        <f t="shared" si="21"/>
        <v/>
      </c>
      <c r="K96" s="18">
        <f t="shared" si="22"/>
        <v>0</v>
      </c>
      <c r="L96" s="7" t="str">
        <f>IF(A96="","",IFERROR(LOOKUP(2,1/(Precios!$B$5:$B$2004=A96),Precios!$A$5:$A$2004),""))</f>
        <v/>
      </c>
      <c r="M96" s="13" t="str">
        <f>IF(A96="","",IFERROR(LOOKUP(2,1/(Precios!$B$5:$B$2004=A96),Precios!$C$5:$C$2004),0))</f>
        <v/>
      </c>
      <c r="N96" s="18" t="str">
        <f t="shared" si="23"/>
        <v/>
      </c>
      <c r="O96" s="18" t="str">
        <f t="shared" si="24"/>
        <v/>
      </c>
      <c r="P96" s="18" t="str">
        <f t="shared" si="25"/>
        <v/>
      </c>
      <c r="Q96" s="18" t="str">
        <f t="shared" si="26"/>
        <v/>
      </c>
      <c r="R96" s="29">
        <f t="shared" si="27"/>
        <v>0</v>
      </c>
      <c r="S96" s="29">
        <f t="shared" si="28"/>
        <v>0</v>
      </c>
      <c r="T96" s="30" t="str">
        <f>IF(A96="","",Activos!E96)</f>
        <v/>
      </c>
      <c r="U96" s="29" t="str">
        <f t="shared" si="29"/>
        <v/>
      </c>
    </row>
    <row r="97" spans="1:21" x14ac:dyDescent="0.3">
      <c r="A97" s="10" t="str">
        <f>IF(Activos!A97="","",Activos!A97)</f>
        <v/>
      </c>
      <c r="B97" s="10" t="str">
        <f>IF(A97="","",Activos!C97)</f>
        <v/>
      </c>
      <c r="C97" s="28" t="str">
        <f>IF(A97="","",SUMIFS(Transacciones!$E$5:$E$1004,Transacciones!$B$5:$B$1004,A97,Transacciones!$D$5:$D$1004,"COMPRA"))</f>
        <v/>
      </c>
      <c r="D97" s="28" t="str">
        <f>IF(A97="","",SUMIFS(Transacciones!$E$5:$E$1004,Transacciones!$B$5:$B$1004,A97,Transacciones!$D$5:$D$1004,"VENTA"))</f>
        <v/>
      </c>
      <c r="E97" s="28" t="str">
        <f>IF(A97="","",SUMIF(Referidos!$C$5:$C$204,A97,Referidos!$D$5:$D$204))</f>
        <v/>
      </c>
      <c r="F97" s="28" t="str">
        <f t="shared" si="20"/>
        <v/>
      </c>
      <c r="G97" s="18" t="str">
        <f>IF(A97="","",SUMIFS(Transacciones!$G$5:$G$1004,Transacciones!$B$5:$B$1004,A97,Transacciones!$D$5:$D$1004,"COMPRA"))</f>
        <v/>
      </c>
      <c r="H97" s="18" t="str">
        <f>IF(A97="","",SUMIFS(Transacciones!$H$5:$H$1004,Transacciones!$B$5:$B$1004,A97,Transacciones!$D$5:$D$1004,"COMPRA"))</f>
        <v/>
      </c>
      <c r="I97" s="18" t="str">
        <f>IF(A97="","",SUMIFS(Transacciones!$I$5:$I$1004,Transacciones!$B$5:$B$1004,A97,Transacciones!$D$5:$D$1004,"VENTA"))</f>
        <v/>
      </c>
      <c r="J97" s="18" t="str">
        <f t="shared" si="21"/>
        <v/>
      </c>
      <c r="K97" s="18">
        <f t="shared" si="22"/>
        <v>0</v>
      </c>
      <c r="L97" s="7" t="str">
        <f>IF(A97="","",IFERROR(LOOKUP(2,1/(Precios!$B$5:$B$2004=A97),Precios!$A$5:$A$2004),""))</f>
        <v/>
      </c>
      <c r="M97" s="13" t="str">
        <f>IF(A97="","",IFERROR(LOOKUP(2,1/(Precios!$B$5:$B$2004=A97),Precios!$C$5:$C$2004),0))</f>
        <v/>
      </c>
      <c r="N97" s="18" t="str">
        <f t="shared" si="23"/>
        <v/>
      </c>
      <c r="O97" s="18" t="str">
        <f t="shared" si="24"/>
        <v/>
      </c>
      <c r="P97" s="18" t="str">
        <f t="shared" si="25"/>
        <v/>
      </c>
      <c r="Q97" s="18" t="str">
        <f t="shared" si="26"/>
        <v/>
      </c>
      <c r="R97" s="29">
        <f t="shared" si="27"/>
        <v>0</v>
      </c>
      <c r="S97" s="29">
        <f t="shared" si="28"/>
        <v>0</v>
      </c>
      <c r="T97" s="30" t="str">
        <f>IF(A97="","",Activos!E97)</f>
        <v/>
      </c>
      <c r="U97" s="29" t="str">
        <f t="shared" si="29"/>
        <v/>
      </c>
    </row>
    <row r="98" spans="1:21" x14ac:dyDescent="0.3">
      <c r="A98" s="10" t="str">
        <f>IF(Activos!A98="","",Activos!A98)</f>
        <v/>
      </c>
      <c r="B98" s="10" t="str">
        <f>IF(A98="","",Activos!C98)</f>
        <v/>
      </c>
      <c r="C98" s="28" t="str">
        <f>IF(A98="","",SUMIFS(Transacciones!$E$5:$E$1004,Transacciones!$B$5:$B$1004,A98,Transacciones!$D$5:$D$1004,"COMPRA"))</f>
        <v/>
      </c>
      <c r="D98" s="28" t="str">
        <f>IF(A98="","",SUMIFS(Transacciones!$E$5:$E$1004,Transacciones!$B$5:$B$1004,A98,Transacciones!$D$5:$D$1004,"VENTA"))</f>
        <v/>
      </c>
      <c r="E98" s="28" t="str">
        <f>IF(A98="","",SUMIF(Referidos!$C$5:$C$204,A98,Referidos!$D$5:$D$204))</f>
        <v/>
      </c>
      <c r="F98" s="28" t="str">
        <f t="shared" si="20"/>
        <v/>
      </c>
      <c r="G98" s="18" t="str">
        <f>IF(A98="","",SUMIFS(Transacciones!$G$5:$G$1004,Transacciones!$B$5:$B$1004,A98,Transacciones!$D$5:$D$1004,"COMPRA"))</f>
        <v/>
      </c>
      <c r="H98" s="18" t="str">
        <f>IF(A98="","",SUMIFS(Transacciones!$H$5:$H$1004,Transacciones!$B$5:$B$1004,A98,Transacciones!$D$5:$D$1004,"COMPRA"))</f>
        <v/>
      </c>
      <c r="I98" s="18" t="str">
        <f>IF(A98="","",SUMIFS(Transacciones!$I$5:$I$1004,Transacciones!$B$5:$B$1004,A98,Transacciones!$D$5:$D$1004,"VENTA"))</f>
        <v/>
      </c>
      <c r="J98" s="18" t="str">
        <f t="shared" si="21"/>
        <v/>
      </c>
      <c r="K98" s="18">
        <f t="shared" si="22"/>
        <v>0</v>
      </c>
      <c r="L98" s="7" t="str">
        <f>IF(A98="","",IFERROR(LOOKUP(2,1/(Precios!$B$5:$B$2004=A98),Precios!$A$5:$A$2004),""))</f>
        <v/>
      </c>
      <c r="M98" s="13" t="str">
        <f>IF(A98="","",IFERROR(LOOKUP(2,1/(Precios!$B$5:$B$2004=A98),Precios!$C$5:$C$2004),0))</f>
        <v/>
      </c>
      <c r="N98" s="18" t="str">
        <f t="shared" si="23"/>
        <v/>
      </c>
      <c r="O98" s="18" t="str">
        <f t="shared" si="24"/>
        <v/>
      </c>
      <c r="P98" s="18" t="str">
        <f t="shared" si="25"/>
        <v/>
      </c>
      <c r="Q98" s="18" t="str">
        <f t="shared" si="26"/>
        <v/>
      </c>
      <c r="R98" s="29">
        <f t="shared" si="27"/>
        <v>0</v>
      </c>
      <c r="S98" s="29">
        <f t="shared" si="28"/>
        <v>0</v>
      </c>
      <c r="T98" s="30" t="str">
        <f>IF(A98="","",Activos!E98)</f>
        <v/>
      </c>
      <c r="U98" s="29" t="str">
        <f t="shared" si="29"/>
        <v/>
      </c>
    </row>
    <row r="99" spans="1:21" x14ac:dyDescent="0.3">
      <c r="A99" s="10" t="str">
        <f>IF(Activos!A99="","",Activos!A99)</f>
        <v/>
      </c>
      <c r="B99" s="10" t="str">
        <f>IF(A99="","",Activos!C99)</f>
        <v/>
      </c>
      <c r="C99" s="28" t="str">
        <f>IF(A99="","",SUMIFS(Transacciones!$E$5:$E$1004,Transacciones!$B$5:$B$1004,A99,Transacciones!$D$5:$D$1004,"COMPRA"))</f>
        <v/>
      </c>
      <c r="D99" s="28" t="str">
        <f>IF(A99="","",SUMIFS(Transacciones!$E$5:$E$1004,Transacciones!$B$5:$B$1004,A99,Transacciones!$D$5:$D$1004,"VENTA"))</f>
        <v/>
      </c>
      <c r="E99" s="28" t="str">
        <f>IF(A99="","",SUMIF(Referidos!$C$5:$C$204,A99,Referidos!$D$5:$D$204))</f>
        <v/>
      </c>
      <c r="F99" s="28" t="str">
        <f t="shared" si="20"/>
        <v/>
      </c>
      <c r="G99" s="18" t="str">
        <f>IF(A99="","",SUMIFS(Transacciones!$G$5:$G$1004,Transacciones!$B$5:$B$1004,A99,Transacciones!$D$5:$D$1004,"COMPRA"))</f>
        <v/>
      </c>
      <c r="H99" s="18" t="str">
        <f>IF(A99="","",SUMIFS(Transacciones!$H$5:$H$1004,Transacciones!$B$5:$B$1004,A99,Transacciones!$D$5:$D$1004,"COMPRA"))</f>
        <v/>
      </c>
      <c r="I99" s="18" t="str">
        <f>IF(A99="","",SUMIFS(Transacciones!$I$5:$I$1004,Transacciones!$B$5:$B$1004,A99,Transacciones!$D$5:$D$1004,"VENTA"))</f>
        <v/>
      </c>
      <c r="J99" s="18" t="str">
        <f t="shared" si="21"/>
        <v/>
      </c>
      <c r="K99" s="18">
        <f t="shared" si="22"/>
        <v>0</v>
      </c>
      <c r="L99" s="7" t="str">
        <f>IF(A99="","",IFERROR(LOOKUP(2,1/(Precios!$B$5:$B$2004=A99),Precios!$A$5:$A$2004),""))</f>
        <v/>
      </c>
      <c r="M99" s="13" t="str">
        <f>IF(A99="","",IFERROR(LOOKUP(2,1/(Precios!$B$5:$B$2004=A99),Precios!$C$5:$C$2004),0))</f>
        <v/>
      </c>
      <c r="N99" s="18" t="str">
        <f t="shared" si="23"/>
        <v/>
      </c>
      <c r="O99" s="18" t="str">
        <f t="shared" si="24"/>
        <v/>
      </c>
      <c r="P99" s="18" t="str">
        <f t="shared" si="25"/>
        <v/>
      </c>
      <c r="Q99" s="18" t="str">
        <f t="shared" si="26"/>
        <v/>
      </c>
      <c r="R99" s="29">
        <f t="shared" si="27"/>
        <v>0</v>
      </c>
      <c r="S99" s="29">
        <f t="shared" si="28"/>
        <v>0</v>
      </c>
      <c r="T99" s="30" t="str">
        <f>IF(A99="","",Activos!E99)</f>
        <v/>
      </c>
      <c r="U99" s="29" t="str">
        <f t="shared" si="29"/>
        <v/>
      </c>
    </row>
    <row r="100" spans="1:21" x14ac:dyDescent="0.3">
      <c r="A100" s="10" t="str">
        <f>IF(Activos!A100="","",Activos!A100)</f>
        <v/>
      </c>
      <c r="B100" s="10" t="str">
        <f>IF(A100="","",Activos!C100)</f>
        <v/>
      </c>
      <c r="C100" s="28" t="str">
        <f>IF(A100="","",SUMIFS(Transacciones!$E$5:$E$1004,Transacciones!$B$5:$B$1004,A100,Transacciones!$D$5:$D$1004,"COMPRA"))</f>
        <v/>
      </c>
      <c r="D100" s="28" t="str">
        <f>IF(A100="","",SUMIFS(Transacciones!$E$5:$E$1004,Transacciones!$B$5:$B$1004,A100,Transacciones!$D$5:$D$1004,"VENTA"))</f>
        <v/>
      </c>
      <c r="E100" s="28" t="str">
        <f>IF(A100="","",SUMIF(Referidos!$C$5:$C$204,A100,Referidos!$D$5:$D$204))</f>
        <v/>
      </c>
      <c r="F100" s="28" t="str">
        <f t="shared" si="20"/>
        <v/>
      </c>
      <c r="G100" s="18" t="str">
        <f>IF(A100="","",SUMIFS(Transacciones!$G$5:$G$1004,Transacciones!$B$5:$B$1004,A100,Transacciones!$D$5:$D$1004,"COMPRA"))</f>
        <v/>
      </c>
      <c r="H100" s="18" t="str">
        <f>IF(A100="","",SUMIFS(Transacciones!$H$5:$H$1004,Transacciones!$B$5:$B$1004,A100,Transacciones!$D$5:$D$1004,"COMPRA"))</f>
        <v/>
      </c>
      <c r="I100" s="18" t="str">
        <f>IF(A100="","",SUMIFS(Transacciones!$I$5:$I$1004,Transacciones!$B$5:$B$1004,A100,Transacciones!$D$5:$D$1004,"VENTA"))</f>
        <v/>
      </c>
      <c r="J100" s="18" t="str">
        <f t="shared" si="21"/>
        <v/>
      </c>
      <c r="K100" s="18">
        <f t="shared" si="22"/>
        <v>0</v>
      </c>
      <c r="L100" s="7" t="str">
        <f>IF(A100="","",IFERROR(LOOKUP(2,1/(Precios!$B$5:$B$2004=A100),Precios!$A$5:$A$2004),""))</f>
        <v/>
      </c>
      <c r="M100" s="13" t="str">
        <f>IF(A100="","",IFERROR(LOOKUP(2,1/(Precios!$B$5:$B$2004=A100),Precios!$C$5:$C$2004),0))</f>
        <v/>
      </c>
      <c r="N100" s="18" t="str">
        <f t="shared" si="23"/>
        <v/>
      </c>
      <c r="O100" s="18" t="str">
        <f t="shared" si="24"/>
        <v/>
      </c>
      <c r="P100" s="18" t="str">
        <f t="shared" si="25"/>
        <v/>
      </c>
      <c r="Q100" s="18" t="str">
        <f t="shared" si="26"/>
        <v/>
      </c>
      <c r="R100" s="29">
        <f t="shared" si="27"/>
        <v>0</v>
      </c>
      <c r="S100" s="29">
        <f t="shared" si="28"/>
        <v>0</v>
      </c>
      <c r="T100" s="30" t="str">
        <f>IF(A100="","",Activos!E100)</f>
        <v/>
      </c>
      <c r="U100" s="29" t="str">
        <f t="shared" si="29"/>
        <v/>
      </c>
    </row>
    <row r="101" spans="1:21" x14ac:dyDescent="0.3">
      <c r="A101" s="10" t="str">
        <f>IF(Activos!A101="","",Activos!A101)</f>
        <v/>
      </c>
      <c r="B101" s="10" t="str">
        <f>IF(A101="","",Activos!C101)</f>
        <v/>
      </c>
      <c r="C101" s="28" t="str">
        <f>IF(A101="","",SUMIFS(Transacciones!$E$5:$E$1004,Transacciones!$B$5:$B$1004,A101,Transacciones!$D$5:$D$1004,"COMPRA"))</f>
        <v/>
      </c>
      <c r="D101" s="28" t="str">
        <f>IF(A101="","",SUMIFS(Transacciones!$E$5:$E$1004,Transacciones!$B$5:$B$1004,A101,Transacciones!$D$5:$D$1004,"VENTA"))</f>
        <v/>
      </c>
      <c r="E101" s="28" t="str">
        <f>IF(A101="","",SUMIF(Referidos!$C$5:$C$204,A101,Referidos!$D$5:$D$204))</f>
        <v/>
      </c>
      <c r="F101" s="28" t="str">
        <f t="shared" ref="F101:F132" si="30">IF(A101="","",C101-D101+E101)</f>
        <v/>
      </c>
      <c r="G101" s="18" t="str">
        <f>IF(A101="","",SUMIFS(Transacciones!$G$5:$G$1004,Transacciones!$B$5:$B$1004,A101,Transacciones!$D$5:$D$1004,"COMPRA"))</f>
        <v/>
      </c>
      <c r="H101" s="18" t="str">
        <f>IF(A101="","",SUMIFS(Transacciones!$H$5:$H$1004,Transacciones!$B$5:$B$1004,A101,Transacciones!$D$5:$D$1004,"COMPRA"))</f>
        <v/>
      </c>
      <c r="I101" s="18" t="str">
        <f>IF(A101="","",SUMIFS(Transacciones!$I$5:$I$1004,Transacciones!$B$5:$B$1004,A101,Transacciones!$D$5:$D$1004,"VENTA"))</f>
        <v/>
      </c>
      <c r="J101" s="18" t="str">
        <f t="shared" si="21"/>
        <v/>
      </c>
      <c r="K101" s="18">
        <f t="shared" ref="K101:K132" si="31">IFERROR(J101/C101,0)</f>
        <v>0</v>
      </c>
      <c r="L101" s="7" t="str">
        <f>IF(A101="","",IFERROR(LOOKUP(2,1/(Precios!$B$5:$B$2004=A101),Precios!$A$5:$A$2004),""))</f>
        <v/>
      </c>
      <c r="M101" s="13" t="str">
        <f>IF(A101="","",IFERROR(LOOKUP(2,1/(Precios!$B$5:$B$2004=A101),Precios!$C$5:$C$2004),0))</f>
        <v/>
      </c>
      <c r="N101" s="18" t="str">
        <f t="shared" ref="N101:N132" si="32">IF(A101="","",F101*M101)</f>
        <v/>
      </c>
      <c r="O101" s="18" t="str">
        <f t="shared" si="24"/>
        <v/>
      </c>
      <c r="P101" s="18" t="str">
        <f t="shared" ref="P101:P132" si="33">IF(A101="","",MAX(C101-D101,0)*M101-O101)</f>
        <v/>
      </c>
      <c r="Q101" s="18" t="str">
        <f t="shared" si="26"/>
        <v/>
      </c>
      <c r="R101" s="29">
        <f t="shared" si="27"/>
        <v>0</v>
      </c>
      <c r="S101" s="29">
        <f t="shared" si="28"/>
        <v>0</v>
      </c>
      <c r="T101" s="30" t="str">
        <f>IF(A101="","",Activos!E101)</f>
        <v/>
      </c>
      <c r="U101" s="29" t="str">
        <f t="shared" ref="U101:U132" si="34">IF(A101="","",S101-T101)</f>
        <v/>
      </c>
    </row>
    <row r="102" spans="1:21" x14ac:dyDescent="0.3">
      <c r="A102" s="10" t="str">
        <f>IF(Activos!A102="","",Activos!A102)</f>
        <v/>
      </c>
      <c r="B102" s="10" t="str">
        <f>IF(A102="","",Activos!C102)</f>
        <v/>
      </c>
      <c r="C102" s="28" t="str">
        <f>IF(A102="","",SUMIFS(Transacciones!$E$5:$E$1004,Transacciones!$B$5:$B$1004,A102,Transacciones!$D$5:$D$1004,"COMPRA"))</f>
        <v/>
      </c>
      <c r="D102" s="28" t="str">
        <f>IF(A102="","",SUMIFS(Transacciones!$E$5:$E$1004,Transacciones!$B$5:$B$1004,A102,Transacciones!$D$5:$D$1004,"VENTA"))</f>
        <v/>
      </c>
      <c r="E102" s="28" t="str">
        <f>IF(A102="","",SUMIF(Referidos!$C$5:$C$204,A102,Referidos!$D$5:$D$204))</f>
        <v/>
      </c>
      <c r="F102" s="28" t="str">
        <f t="shared" si="30"/>
        <v/>
      </c>
      <c r="G102" s="18" t="str">
        <f>IF(A102="","",SUMIFS(Transacciones!$G$5:$G$1004,Transacciones!$B$5:$B$1004,A102,Transacciones!$D$5:$D$1004,"COMPRA"))</f>
        <v/>
      </c>
      <c r="H102" s="18" t="str">
        <f>IF(A102="","",SUMIFS(Transacciones!$H$5:$H$1004,Transacciones!$B$5:$B$1004,A102,Transacciones!$D$5:$D$1004,"COMPRA"))</f>
        <v/>
      </c>
      <c r="I102" s="18" t="str">
        <f>IF(A102="","",SUMIFS(Transacciones!$I$5:$I$1004,Transacciones!$B$5:$B$1004,A102,Transacciones!$D$5:$D$1004,"VENTA"))</f>
        <v/>
      </c>
      <c r="J102" s="18" t="str">
        <f t="shared" si="21"/>
        <v/>
      </c>
      <c r="K102" s="18">
        <f t="shared" si="31"/>
        <v>0</v>
      </c>
      <c r="L102" s="7" t="str">
        <f>IF(A102="","",IFERROR(LOOKUP(2,1/(Precios!$B$5:$B$2004=A102),Precios!$A$5:$A$2004),""))</f>
        <v/>
      </c>
      <c r="M102" s="13" t="str">
        <f>IF(A102="","",IFERROR(LOOKUP(2,1/(Precios!$B$5:$B$2004=A102),Precios!$C$5:$C$2004),0))</f>
        <v/>
      </c>
      <c r="N102" s="18" t="str">
        <f t="shared" si="32"/>
        <v/>
      </c>
      <c r="O102" s="18" t="str">
        <f t="shared" si="24"/>
        <v/>
      </c>
      <c r="P102" s="18" t="str">
        <f t="shared" si="33"/>
        <v/>
      </c>
      <c r="Q102" s="18" t="str">
        <f t="shared" si="26"/>
        <v/>
      </c>
      <c r="R102" s="29">
        <f t="shared" si="27"/>
        <v>0</v>
      </c>
      <c r="S102" s="29">
        <f t="shared" si="28"/>
        <v>0</v>
      </c>
      <c r="T102" s="30" t="str">
        <f>IF(A102="","",Activos!E102)</f>
        <v/>
      </c>
      <c r="U102" s="29" t="str">
        <f t="shared" si="34"/>
        <v/>
      </c>
    </row>
    <row r="103" spans="1:21" x14ac:dyDescent="0.3">
      <c r="A103" s="10" t="str">
        <f>IF(Activos!A103="","",Activos!A103)</f>
        <v/>
      </c>
      <c r="B103" s="10" t="str">
        <f>IF(A103="","",Activos!C103)</f>
        <v/>
      </c>
      <c r="C103" s="28" t="str">
        <f>IF(A103="","",SUMIFS(Transacciones!$E$5:$E$1004,Transacciones!$B$5:$B$1004,A103,Transacciones!$D$5:$D$1004,"COMPRA"))</f>
        <v/>
      </c>
      <c r="D103" s="28" t="str">
        <f>IF(A103="","",SUMIFS(Transacciones!$E$5:$E$1004,Transacciones!$B$5:$B$1004,A103,Transacciones!$D$5:$D$1004,"VENTA"))</f>
        <v/>
      </c>
      <c r="E103" s="28" t="str">
        <f>IF(A103="","",SUMIF(Referidos!$C$5:$C$204,A103,Referidos!$D$5:$D$204))</f>
        <v/>
      </c>
      <c r="F103" s="28" t="str">
        <f t="shared" si="30"/>
        <v/>
      </c>
      <c r="G103" s="18" t="str">
        <f>IF(A103="","",SUMIFS(Transacciones!$G$5:$G$1004,Transacciones!$B$5:$B$1004,A103,Transacciones!$D$5:$D$1004,"COMPRA"))</f>
        <v/>
      </c>
      <c r="H103" s="18" t="str">
        <f>IF(A103="","",SUMIFS(Transacciones!$H$5:$H$1004,Transacciones!$B$5:$B$1004,A103,Transacciones!$D$5:$D$1004,"COMPRA"))</f>
        <v/>
      </c>
      <c r="I103" s="18" t="str">
        <f>IF(A103="","",SUMIFS(Transacciones!$I$5:$I$1004,Transacciones!$B$5:$B$1004,A103,Transacciones!$D$5:$D$1004,"VENTA"))</f>
        <v/>
      </c>
      <c r="J103" s="18" t="str">
        <f t="shared" si="21"/>
        <v/>
      </c>
      <c r="K103" s="18">
        <f t="shared" si="31"/>
        <v>0</v>
      </c>
      <c r="L103" s="7" t="str">
        <f>IF(A103="","",IFERROR(LOOKUP(2,1/(Precios!$B$5:$B$2004=A103),Precios!$A$5:$A$2004),""))</f>
        <v/>
      </c>
      <c r="M103" s="13" t="str">
        <f>IF(A103="","",IFERROR(LOOKUP(2,1/(Precios!$B$5:$B$2004=A103),Precios!$C$5:$C$2004),0))</f>
        <v/>
      </c>
      <c r="N103" s="18" t="str">
        <f t="shared" si="32"/>
        <v/>
      </c>
      <c r="O103" s="18" t="str">
        <f t="shared" si="24"/>
        <v/>
      </c>
      <c r="P103" s="18" t="str">
        <f t="shared" si="33"/>
        <v/>
      </c>
      <c r="Q103" s="18" t="str">
        <f t="shared" si="26"/>
        <v/>
      </c>
      <c r="R103" s="29">
        <f t="shared" si="27"/>
        <v>0</v>
      </c>
      <c r="S103" s="29">
        <f t="shared" si="28"/>
        <v>0</v>
      </c>
      <c r="T103" s="30" t="str">
        <f>IF(A103="","",Activos!E103)</f>
        <v/>
      </c>
      <c r="U103" s="29" t="str">
        <f t="shared" si="34"/>
        <v/>
      </c>
    </row>
    <row r="104" spans="1:21" x14ac:dyDescent="0.3">
      <c r="A104" s="10" t="str">
        <f>IF(Activos!A104="","",Activos!A104)</f>
        <v/>
      </c>
      <c r="B104" s="10" t="str">
        <f>IF(A104="","",Activos!C104)</f>
        <v/>
      </c>
      <c r="C104" s="28" t="str">
        <f>IF(A104="","",SUMIFS(Transacciones!$E$5:$E$1004,Transacciones!$B$5:$B$1004,A104,Transacciones!$D$5:$D$1004,"COMPRA"))</f>
        <v/>
      </c>
      <c r="D104" s="28" t="str">
        <f>IF(A104="","",SUMIFS(Transacciones!$E$5:$E$1004,Transacciones!$B$5:$B$1004,A104,Transacciones!$D$5:$D$1004,"VENTA"))</f>
        <v/>
      </c>
      <c r="E104" s="28" t="str">
        <f>IF(A104="","",SUMIF(Referidos!$C$5:$C$204,A104,Referidos!$D$5:$D$204))</f>
        <v/>
      </c>
      <c r="F104" s="28" t="str">
        <f t="shared" si="30"/>
        <v/>
      </c>
      <c r="G104" s="18" t="str">
        <f>IF(A104="","",SUMIFS(Transacciones!$G$5:$G$1004,Transacciones!$B$5:$B$1004,A104,Transacciones!$D$5:$D$1004,"COMPRA"))</f>
        <v/>
      </c>
      <c r="H104" s="18" t="str">
        <f>IF(A104="","",SUMIFS(Transacciones!$H$5:$H$1004,Transacciones!$B$5:$B$1004,A104,Transacciones!$D$5:$D$1004,"COMPRA"))</f>
        <v/>
      </c>
      <c r="I104" s="18" t="str">
        <f>IF(A104="","",SUMIFS(Transacciones!$I$5:$I$1004,Transacciones!$B$5:$B$1004,A104,Transacciones!$D$5:$D$1004,"VENTA"))</f>
        <v/>
      </c>
      <c r="J104" s="18" t="str">
        <f t="shared" si="21"/>
        <v/>
      </c>
      <c r="K104" s="18">
        <f t="shared" si="31"/>
        <v>0</v>
      </c>
      <c r="L104" s="7" t="str">
        <f>IF(A104="","",IFERROR(LOOKUP(2,1/(Precios!$B$5:$B$2004=A104),Precios!$A$5:$A$2004),""))</f>
        <v/>
      </c>
      <c r="M104" s="13" t="str">
        <f>IF(A104="","",IFERROR(LOOKUP(2,1/(Precios!$B$5:$B$2004=A104),Precios!$C$5:$C$2004),0))</f>
        <v/>
      </c>
      <c r="N104" s="18" t="str">
        <f t="shared" si="32"/>
        <v/>
      </c>
      <c r="O104" s="18" t="str">
        <f t="shared" si="24"/>
        <v/>
      </c>
      <c r="P104" s="18" t="str">
        <f t="shared" si="33"/>
        <v/>
      </c>
      <c r="Q104" s="18" t="str">
        <f t="shared" si="26"/>
        <v/>
      </c>
      <c r="R104" s="29">
        <f t="shared" si="27"/>
        <v>0</v>
      </c>
      <c r="S104" s="29">
        <f t="shared" si="28"/>
        <v>0</v>
      </c>
      <c r="T104" s="30" t="str">
        <f>IF(A104="","",Activos!E104)</f>
        <v/>
      </c>
      <c r="U104" s="29" t="str">
        <f t="shared" si="34"/>
        <v/>
      </c>
    </row>
  </sheetData>
  <autoFilter ref="A4:U104" xr:uid="{00000000-0009-0000-0000-000008000000}"/>
  <mergeCells count="2">
    <mergeCell ref="A1:U1"/>
    <mergeCell ref="A2:U2"/>
  </mergeCells>
  <conditionalFormatting sqref="P5:Q104">
    <cfRule type="cellIs" dxfId="1" priority="1" operator="lessThan">
      <formula>0</formula>
    </cfRule>
  </conditionalFormatting>
  <conditionalFormatting sqref="U5:U104">
    <cfRule type="cellIs" dxfId="0" priority="2" operator="lessThan">
      <formula>-0.01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504"/>
  <sheetViews>
    <sheetView showGridLines="0" workbookViewId="0">
      <pane ySplit="4" topLeftCell="A5" activePane="bottomLeft" state="frozen"/>
      <selection pane="bottomLeft" sqref="A1:L1"/>
    </sheetView>
  </sheetViews>
  <sheetFormatPr baseColWidth="10" defaultColWidth="8.88671875" defaultRowHeight="14.4" x14ac:dyDescent="0.3"/>
  <cols>
    <col min="1" max="1" width="14" style="12" customWidth="1"/>
    <col min="2" max="2" width="22" style="12" customWidth="1"/>
    <col min="3" max="3" width="21" style="12" customWidth="1"/>
    <col min="4" max="4" width="17" style="12" customWidth="1"/>
    <col min="5" max="5" width="20" style="12" customWidth="1"/>
    <col min="6" max="6" width="15" style="12" customWidth="1"/>
    <col min="7" max="7" width="20" style="12" customWidth="1"/>
    <col min="8" max="9" width="18" style="12" customWidth="1"/>
    <col min="10" max="11" width="22" style="12" customWidth="1"/>
    <col min="12" max="12" width="34" style="12" customWidth="1"/>
  </cols>
  <sheetData>
    <row r="1" spans="1:12" ht="25.05" customHeight="1" x14ac:dyDescent="0.3">
      <c r="A1" s="34" t="s">
        <v>244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ht="34.049999999999997" customHeight="1" x14ac:dyDescent="0.3">
      <c r="A2" s="31" t="s">
        <v>245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4" spans="1:12" ht="34.049999999999997" customHeight="1" x14ac:dyDescent="0.3">
      <c r="A4" s="1" t="s">
        <v>178</v>
      </c>
      <c r="B4" s="1" t="s">
        <v>246</v>
      </c>
      <c r="C4" s="1" t="s">
        <v>247</v>
      </c>
      <c r="D4" s="1" t="s">
        <v>248</v>
      </c>
      <c r="E4" s="1" t="s">
        <v>249</v>
      </c>
      <c r="F4" s="1" t="s">
        <v>250</v>
      </c>
      <c r="G4" s="1" t="s">
        <v>251</v>
      </c>
      <c r="H4" s="1" t="s">
        <v>252</v>
      </c>
      <c r="I4" s="1" t="s">
        <v>253</v>
      </c>
      <c r="J4" s="1" t="s">
        <v>254</v>
      </c>
      <c r="K4" s="1" t="s">
        <v>255</v>
      </c>
      <c r="L4" s="1" t="s">
        <v>126</v>
      </c>
    </row>
    <row r="5" spans="1:12" x14ac:dyDescent="0.3">
      <c r="A5" s="9">
        <v>46314</v>
      </c>
      <c r="B5" s="17">
        <v>375</v>
      </c>
      <c r="C5" s="17">
        <v>363.55</v>
      </c>
      <c r="D5" s="17">
        <v>11.45</v>
      </c>
      <c r="E5" s="17">
        <v>0.62</v>
      </c>
      <c r="F5" s="17">
        <v>1.86</v>
      </c>
      <c r="G5" s="17">
        <v>359.46329872619998</v>
      </c>
      <c r="H5" s="17">
        <v>0.98061152279999997</v>
      </c>
      <c r="I5" s="17">
        <v>362.30391024900001</v>
      </c>
      <c r="J5" s="18">
        <f t="shared" ref="J5:J68" si="0">IF(OR(I5="",B5=""),"",I5-B5)</f>
        <v>-12.696089750999988</v>
      </c>
      <c r="K5" s="11">
        <f t="shared" ref="K5:K68" si="1">IFERROR(J5/B5,0)</f>
        <v>-3.3856239335999967E-2</v>
      </c>
      <c r="L5" s="8" t="s">
        <v>256</v>
      </c>
    </row>
    <row r="6" spans="1:12" x14ac:dyDescent="0.3">
      <c r="A6" s="9"/>
      <c r="B6" s="17"/>
      <c r="C6" s="17"/>
      <c r="D6" s="17"/>
      <c r="E6" s="17"/>
      <c r="F6" s="17"/>
      <c r="G6" s="17"/>
      <c r="H6" s="17"/>
      <c r="I6" s="17"/>
      <c r="J6" s="18" t="str">
        <f t="shared" si="0"/>
        <v/>
      </c>
      <c r="K6" s="11">
        <f t="shared" si="1"/>
        <v>0</v>
      </c>
      <c r="L6" s="8"/>
    </row>
    <row r="7" spans="1:12" x14ac:dyDescent="0.3">
      <c r="A7" s="9"/>
      <c r="B7" s="17"/>
      <c r="C7" s="17"/>
      <c r="D7" s="17"/>
      <c r="E7" s="17"/>
      <c r="F7" s="17"/>
      <c r="G7" s="17"/>
      <c r="H7" s="17"/>
      <c r="I7" s="17"/>
      <c r="J7" s="18" t="str">
        <f t="shared" si="0"/>
        <v/>
      </c>
      <c r="K7" s="11">
        <f t="shared" si="1"/>
        <v>0</v>
      </c>
      <c r="L7" s="8"/>
    </row>
    <row r="8" spans="1:12" x14ac:dyDescent="0.3">
      <c r="A8" s="9"/>
      <c r="B8" s="17"/>
      <c r="C8" s="17"/>
      <c r="D8" s="17"/>
      <c r="E8" s="17"/>
      <c r="F8" s="17"/>
      <c r="G8" s="17"/>
      <c r="H8" s="17"/>
      <c r="I8" s="17"/>
      <c r="J8" s="18" t="str">
        <f t="shared" si="0"/>
        <v/>
      </c>
      <c r="K8" s="11">
        <f t="shared" si="1"/>
        <v>0</v>
      </c>
      <c r="L8" s="8"/>
    </row>
    <row r="9" spans="1:12" x14ac:dyDescent="0.3">
      <c r="A9" s="9"/>
      <c r="B9" s="17"/>
      <c r="C9" s="17"/>
      <c r="D9" s="17"/>
      <c r="E9" s="17"/>
      <c r="F9" s="17"/>
      <c r="G9" s="17"/>
      <c r="H9" s="17"/>
      <c r="I9" s="17"/>
      <c r="J9" s="18" t="str">
        <f t="shared" si="0"/>
        <v/>
      </c>
      <c r="K9" s="11">
        <f t="shared" si="1"/>
        <v>0</v>
      </c>
      <c r="L9" s="8"/>
    </row>
    <row r="10" spans="1:12" x14ac:dyDescent="0.3">
      <c r="A10" s="9"/>
      <c r="B10" s="17"/>
      <c r="C10" s="17"/>
      <c r="D10" s="17"/>
      <c r="E10" s="17"/>
      <c r="F10" s="17"/>
      <c r="G10" s="17"/>
      <c r="H10" s="17"/>
      <c r="I10" s="17"/>
      <c r="J10" s="18" t="str">
        <f t="shared" si="0"/>
        <v/>
      </c>
      <c r="K10" s="11">
        <f t="shared" si="1"/>
        <v>0</v>
      </c>
      <c r="L10" s="8"/>
    </row>
    <row r="11" spans="1:12" x14ac:dyDescent="0.3">
      <c r="A11" s="9"/>
      <c r="B11" s="17"/>
      <c r="C11" s="17"/>
      <c r="D11" s="17"/>
      <c r="E11" s="17"/>
      <c r="F11" s="17"/>
      <c r="G11" s="17"/>
      <c r="H11" s="17"/>
      <c r="I11" s="17"/>
      <c r="J11" s="18" t="str">
        <f t="shared" si="0"/>
        <v/>
      </c>
      <c r="K11" s="11">
        <f t="shared" si="1"/>
        <v>0</v>
      </c>
      <c r="L11" s="8"/>
    </row>
    <row r="12" spans="1:12" x14ac:dyDescent="0.3">
      <c r="A12" s="9"/>
      <c r="B12" s="17"/>
      <c r="C12" s="17"/>
      <c r="D12" s="17"/>
      <c r="E12" s="17"/>
      <c r="F12" s="17"/>
      <c r="G12" s="17"/>
      <c r="H12" s="17"/>
      <c r="I12" s="17"/>
      <c r="J12" s="18" t="str">
        <f t="shared" si="0"/>
        <v/>
      </c>
      <c r="K12" s="11">
        <f t="shared" si="1"/>
        <v>0</v>
      </c>
      <c r="L12" s="8"/>
    </row>
    <row r="13" spans="1:12" x14ac:dyDescent="0.3">
      <c r="A13" s="9"/>
      <c r="B13" s="17"/>
      <c r="C13" s="17"/>
      <c r="D13" s="17"/>
      <c r="E13" s="17"/>
      <c r="F13" s="17"/>
      <c r="G13" s="17"/>
      <c r="H13" s="17"/>
      <c r="I13" s="17"/>
      <c r="J13" s="18" t="str">
        <f t="shared" si="0"/>
        <v/>
      </c>
      <c r="K13" s="11">
        <f t="shared" si="1"/>
        <v>0</v>
      </c>
      <c r="L13" s="8"/>
    </row>
    <row r="14" spans="1:12" x14ac:dyDescent="0.3">
      <c r="A14" s="9"/>
      <c r="B14" s="17"/>
      <c r="C14" s="17"/>
      <c r="D14" s="17"/>
      <c r="E14" s="17"/>
      <c r="F14" s="17"/>
      <c r="G14" s="17"/>
      <c r="H14" s="17"/>
      <c r="I14" s="17"/>
      <c r="J14" s="18" t="str">
        <f t="shared" si="0"/>
        <v/>
      </c>
      <c r="K14" s="11">
        <f t="shared" si="1"/>
        <v>0</v>
      </c>
      <c r="L14" s="8"/>
    </row>
    <row r="15" spans="1:12" x14ac:dyDescent="0.3">
      <c r="A15" s="9"/>
      <c r="B15" s="17"/>
      <c r="C15" s="17"/>
      <c r="D15" s="17"/>
      <c r="E15" s="17"/>
      <c r="F15" s="17"/>
      <c r="G15" s="17"/>
      <c r="H15" s="17"/>
      <c r="I15" s="17"/>
      <c r="J15" s="18" t="str">
        <f t="shared" si="0"/>
        <v/>
      </c>
      <c r="K15" s="11">
        <f t="shared" si="1"/>
        <v>0</v>
      </c>
      <c r="L15" s="8"/>
    </row>
    <row r="16" spans="1:12" x14ac:dyDescent="0.3">
      <c r="A16" s="9"/>
      <c r="B16" s="17"/>
      <c r="C16" s="17"/>
      <c r="D16" s="17"/>
      <c r="E16" s="17"/>
      <c r="F16" s="17"/>
      <c r="G16" s="17"/>
      <c r="H16" s="17"/>
      <c r="I16" s="17"/>
      <c r="J16" s="18" t="str">
        <f t="shared" si="0"/>
        <v/>
      </c>
      <c r="K16" s="11">
        <f t="shared" si="1"/>
        <v>0</v>
      </c>
      <c r="L16" s="8"/>
    </row>
    <row r="17" spans="1:12" x14ac:dyDescent="0.3">
      <c r="A17" s="9"/>
      <c r="B17" s="17"/>
      <c r="C17" s="17"/>
      <c r="D17" s="17"/>
      <c r="E17" s="17"/>
      <c r="F17" s="17"/>
      <c r="G17" s="17"/>
      <c r="H17" s="17"/>
      <c r="I17" s="17"/>
      <c r="J17" s="18" t="str">
        <f t="shared" si="0"/>
        <v/>
      </c>
      <c r="K17" s="11">
        <f t="shared" si="1"/>
        <v>0</v>
      </c>
      <c r="L17" s="8"/>
    </row>
    <row r="18" spans="1:12" x14ac:dyDescent="0.3">
      <c r="A18" s="9"/>
      <c r="B18" s="17"/>
      <c r="C18" s="17"/>
      <c r="D18" s="17"/>
      <c r="E18" s="17"/>
      <c r="F18" s="17"/>
      <c r="G18" s="17"/>
      <c r="H18" s="17"/>
      <c r="I18" s="17"/>
      <c r="J18" s="18" t="str">
        <f t="shared" si="0"/>
        <v/>
      </c>
      <c r="K18" s="11">
        <f t="shared" si="1"/>
        <v>0</v>
      </c>
      <c r="L18" s="8"/>
    </row>
    <row r="19" spans="1:12" x14ac:dyDescent="0.3">
      <c r="A19" s="9"/>
      <c r="B19" s="17"/>
      <c r="C19" s="17"/>
      <c r="D19" s="17"/>
      <c r="E19" s="17"/>
      <c r="F19" s="17"/>
      <c r="G19" s="17"/>
      <c r="H19" s="17"/>
      <c r="I19" s="17"/>
      <c r="J19" s="18" t="str">
        <f t="shared" si="0"/>
        <v/>
      </c>
      <c r="K19" s="11">
        <f t="shared" si="1"/>
        <v>0</v>
      </c>
      <c r="L19" s="8"/>
    </row>
    <row r="20" spans="1:12" x14ac:dyDescent="0.3">
      <c r="A20" s="9"/>
      <c r="B20" s="17"/>
      <c r="C20" s="17"/>
      <c r="D20" s="17"/>
      <c r="E20" s="17"/>
      <c r="F20" s="17"/>
      <c r="G20" s="17"/>
      <c r="H20" s="17"/>
      <c r="I20" s="17"/>
      <c r="J20" s="18" t="str">
        <f t="shared" si="0"/>
        <v/>
      </c>
      <c r="K20" s="11">
        <f t="shared" si="1"/>
        <v>0</v>
      </c>
      <c r="L20" s="8"/>
    </row>
    <row r="21" spans="1:12" x14ac:dyDescent="0.3">
      <c r="A21" s="9"/>
      <c r="B21" s="17"/>
      <c r="C21" s="17"/>
      <c r="D21" s="17"/>
      <c r="E21" s="17"/>
      <c r="F21" s="17"/>
      <c r="G21" s="17"/>
      <c r="H21" s="17"/>
      <c r="I21" s="17"/>
      <c r="J21" s="18" t="str">
        <f t="shared" si="0"/>
        <v/>
      </c>
      <c r="K21" s="11">
        <f t="shared" si="1"/>
        <v>0</v>
      </c>
      <c r="L21" s="8"/>
    </row>
    <row r="22" spans="1:12" x14ac:dyDescent="0.3">
      <c r="A22" s="9"/>
      <c r="B22" s="17"/>
      <c r="C22" s="17"/>
      <c r="D22" s="17"/>
      <c r="E22" s="17"/>
      <c r="F22" s="17"/>
      <c r="G22" s="17"/>
      <c r="H22" s="17"/>
      <c r="I22" s="17"/>
      <c r="J22" s="18" t="str">
        <f t="shared" si="0"/>
        <v/>
      </c>
      <c r="K22" s="11">
        <f t="shared" si="1"/>
        <v>0</v>
      </c>
      <c r="L22" s="8"/>
    </row>
    <row r="23" spans="1:12" x14ac:dyDescent="0.3">
      <c r="A23" s="9"/>
      <c r="B23" s="17"/>
      <c r="C23" s="17"/>
      <c r="D23" s="17"/>
      <c r="E23" s="17"/>
      <c r="F23" s="17"/>
      <c r="G23" s="17"/>
      <c r="H23" s="17"/>
      <c r="I23" s="17"/>
      <c r="J23" s="18" t="str">
        <f t="shared" si="0"/>
        <v/>
      </c>
      <c r="K23" s="11">
        <f t="shared" si="1"/>
        <v>0</v>
      </c>
      <c r="L23" s="8"/>
    </row>
    <row r="24" spans="1:12" x14ac:dyDescent="0.3">
      <c r="A24" s="9"/>
      <c r="B24" s="17"/>
      <c r="C24" s="17"/>
      <c r="D24" s="17"/>
      <c r="E24" s="17"/>
      <c r="F24" s="17"/>
      <c r="G24" s="17"/>
      <c r="H24" s="17"/>
      <c r="I24" s="17"/>
      <c r="J24" s="18" t="str">
        <f t="shared" si="0"/>
        <v/>
      </c>
      <c r="K24" s="11">
        <f t="shared" si="1"/>
        <v>0</v>
      </c>
      <c r="L24" s="8"/>
    </row>
    <row r="25" spans="1:12" x14ac:dyDescent="0.3">
      <c r="A25" s="9"/>
      <c r="B25" s="17"/>
      <c r="C25" s="17"/>
      <c r="D25" s="17"/>
      <c r="E25" s="17"/>
      <c r="F25" s="17"/>
      <c r="G25" s="17"/>
      <c r="H25" s="17"/>
      <c r="I25" s="17"/>
      <c r="J25" s="18" t="str">
        <f t="shared" si="0"/>
        <v/>
      </c>
      <c r="K25" s="11">
        <f t="shared" si="1"/>
        <v>0</v>
      </c>
      <c r="L25" s="8"/>
    </row>
    <row r="26" spans="1:12" x14ac:dyDescent="0.3">
      <c r="A26" s="9"/>
      <c r="B26" s="17"/>
      <c r="C26" s="17"/>
      <c r="D26" s="17"/>
      <c r="E26" s="17"/>
      <c r="F26" s="17"/>
      <c r="G26" s="17"/>
      <c r="H26" s="17"/>
      <c r="I26" s="17"/>
      <c r="J26" s="18" t="str">
        <f t="shared" si="0"/>
        <v/>
      </c>
      <c r="K26" s="11">
        <f t="shared" si="1"/>
        <v>0</v>
      </c>
      <c r="L26" s="8"/>
    </row>
    <row r="27" spans="1:12" x14ac:dyDescent="0.3">
      <c r="A27" s="9"/>
      <c r="B27" s="17"/>
      <c r="C27" s="17"/>
      <c r="D27" s="17"/>
      <c r="E27" s="17"/>
      <c r="F27" s="17"/>
      <c r="G27" s="17"/>
      <c r="H27" s="17"/>
      <c r="I27" s="17"/>
      <c r="J27" s="18" t="str">
        <f t="shared" si="0"/>
        <v/>
      </c>
      <c r="K27" s="11">
        <f t="shared" si="1"/>
        <v>0</v>
      </c>
      <c r="L27" s="8"/>
    </row>
    <row r="28" spans="1:12" x14ac:dyDescent="0.3">
      <c r="A28" s="9"/>
      <c r="B28" s="17"/>
      <c r="C28" s="17"/>
      <c r="D28" s="17"/>
      <c r="E28" s="17"/>
      <c r="F28" s="17"/>
      <c r="G28" s="17"/>
      <c r="H28" s="17"/>
      <c r="I28" s="17"/>
      <c r="J28" s="18" t="str">
        <f t="shared" si="0"/>
        <v/>
      </c>
      <c r="K28" s="11">
        <f t="shared" si="1"/>
        <v>0</v>
      </c>
      <c r="L28" s="8"/>
    </row>
    <row r="29" spans="1:12" x14ac:dyDescent="0.3">
      <c r="A29" s="9"/>
      <c r="B29" s="17"/>
      <c r="C29" s="17"/>
      <c r="D29" s="17"/>
      <c r="E29" s="17"/>
      <c r="F29" s="17"/>
      <c r="G29" s="17"/>
      <c r="H29" s="17"/>
      <c r="I29" s="17"/>
      <c r="J29" s="18" t="str">
        <f t="shared" si="0"/>
        <v/>
      </c>
      <c r="K29" s="11">
        <f t="shared" si="1"/>
        <v>0</v>
      </c>
      <c r="L29" s="8"/>
    </row>
    <row r="30" spans="1:12" x14ac:dyDescent="0.3">
      <c r="A30" s="9"/>
      <c r="B30" s="17"/>
      <c r="C30" s="17"/>
      <c r="D30" s="17"/>
      <c r="E30" s="17"/>
      <c r="F30" s="17"/>
      <c r="G30" s="17"/>
      <c r="H30" s="17"/>
      <c r="I30" s="17"/>
      <c r="J30" s="18" t="str">
        <f t="shared" si="0"/>
        <v/>
      </c>
      <c r="K30" s="11">
        <f t="shared" si="1"/>
        <v>0</v>
      </c>
      <c r="L30" s="8"/>
    </row>
    <row r="31" spans="1:12" x14ac:dyDescent="0.3">
      <c r="A31" s="9"/>
      <c r="B31" s="17"/>
      <c r="C31" s="17"/>
      <c r="D31" s="17"/>
      <c r="E31" s="17"/>
      <c r="F31" s="17"/>
      <c r="G31" s="17"/>
      <c r="H31" s="17"/>
      <c r="I31" s="17"/>
      <c r="J31" s="18" t="str">
        <f t="shared" si="0"/>
        <v/>
      </c>
      <c r="K31" s="11">
        <f t="shared" si="1"/>
        <v>0</v>
      </c>
      <c r="L31" s="8"/>
    </row>
    <row r="32" spans="1:12" x14ac:dyDescent="0.3">
      <c r="A32" s="9"/>
      <c r="B32" s="17"/>
      <c r="C32" s="17"/>
      <c r="D32" s="17"/>
      <c r="E32" s="17"/>
      <c r="F32" s="17"/>
      <c r="G32" s="17"/>
      <c r="H32" s="17"/>
      <c r="I32" s="17"/>
      <c r="J32" s="18" t="str">
        <f t="shared" si="0"/>
        <v/>
      </c>
      <c r="K32" s="11">
        <f t="shared" si="1"/>
        <v>0</v>
      </c>
      <c r="L32" s="8"/>
    </row>
    <row r="33" spans="1:12" x14ac:dyDescent="0.3">
      <c r="A33" s="9"/>
      <c r="B33" s="17"/>
      <c r="C33" s="17"/>
      <c r="D33" s="17"/>
      <c r="E33" s="17"/>
      <c r="F33" s="17"/>
      <c r="G33" s="17"/>
      <c r="H33" s="17"/>
      <c r="I33" s="17"/>
      <c r="J33" s="18" t="str">
        <f t="shared" si="0"/>
        <v/>
      </c>
      <c r="K33" s="11">
        <f t="shared" si="1"/>
        <v>0</v>
      </c>
      <c r="L33" s="8"/>
    </row>
    <row r="34" spans="1:12" x14ac:dyDescent="0.3">
      <c r="A34" s="9"/>
      <c r="B34" s="17"/>
      <c r="C34" s="17"/>
      <c r="D34" s="17"/>
      <c r="E34" s="17"/>
      <c r="F34" s="17"/>
      <c r="G34" s="17"/>
      <c r="H34" s="17"/>
      <c r="I34" s="17"/>
      <c r="J34" s="18" t="str">
        <f t="shared" si="0"/>
        <v/>
      </c>
      <c r="K34" s="11">
        <f t="shared" si="1"/>
        <v>0</v>
      </c>
      <c r="L34" s="8"/>
    </row>
    <row r="35" spans="1:12" x14ac:dyDescent="0.3">
      <c r="A35" s="9"/>
      <c r="B35" s="17"/>
      <c r="C35" s="17"/>
      <c r="D35" s="17"/>
      <c r="E35" s="17"/>
      <c r="F35" s="17"/>
      <c r="G35" s="17"/>
      <c r="H35" s="17"/>
      <c r="I35" s="17"/>
      <c r="J35" s="18" t="str">
        <f t="shared" si="0"/>
        <v/>
      </c>
      <c r="K35" s="11">
        <f t="shared" si="1"/>
        <v>0</v>
      </c>
      <c r="L35" s="8"/>
    </row>
    <row r="36" spans="1:12" x14ac:dyDescent="0.3">
      <c r="A36" s="9"/>
      <c r="B36" s="17"/>
      <c r="C36" s="17"/>
      <c r="D36" s="17"/>
      <c r="E36" s="17"/>
      <c r="F36" s="17"/>
      <c r="G36" s="17"/>
      <c r="H36" s="17"/>
      <c r="I36" s="17"/>
      <c r="J36" s="18" t="str">
        <f t="shared" si="0"/>
        <v/>
      </c>
      <c r="K36" s="11">
        <f t="shared" si="1"/>
        <v>0</v>
      </c>
      <c r="L36" s="8"/>
    </row>
    <row r="37" spans="1:12" x14ac:dyDescent="0.3">
      <c r="A37" s="9"/>
      <c r="B37" s="17"/>
      <c r="C37" s="17"/>
      <c r="D37" s="17"/>
      <c r="E37" s="17"/>
      <c r="F37" s="17"/>
      <c r="G37" s="17"/>
      <c r="H37" s="17"/>
      <c r="I37" s="17"/>
      <c r="J37" s="18" t="str">
        <f t="shared" si="0"/>
        <v/>
      </c>
      <c r="K37" s="11">
        <f t="shared" si="1"/>
        <v>0</v>
      </c>
      <c r="L37" s="8"/>
    </row>
    <row r="38" spans="1:12" x14ac:dyDescent="0.3">
      <c r="A38" s="9"/>
      <c r="B38" s="17"/>
      <c r="C38" s="17"/>
      <c r="D38" s="17"/>
      <c r="E38" s="17"/>
      <c r="F38" s="17"/>
      <c r="G38" s="17"/>
      <c r="H38" s="17"/>
      <c r="I38" s="17"/>
      <c r="J38" s="18" t="str">
        <f t="shared" si="0"/>
        <v/>
      </c>
      <c r="K38" s="11">
        <f t="shared" si="1"/>
        <v>0</v>
      </c>
      <c r="L38" s="8"/>
    </row>
    <row r="39" spans="1:12" x14ac:dyDescent="0.3">
      <c r="A39" s="9"/>
      <c r="B39" s="17"/>
      <c r="C39" s="17"/>
      <c r="D39" s="17"/>
      <c r="E39" s="17"/>
      <c r="F39" s="17"/>
      <c r="G39" s="17"/>
      <c r="H39" s="17"/>
      <c r="I39" s="17"/>
      <c r="J39" s="18" t="str">
        <f t="shared" si="0"/>
        <v/>
      </c>
      <c r="K39" s="11">
        <f t="shared" si="1"/>
        <v>0</v>
      </c>
      <c r="L39" s="8"/>
    </row>
    <row r="40" spans="1:12" x14ac:dyDescent="0.3">
      <c r="A40" s="9"/>
      <c r="B40" s="17"/>
      <c r="C40" s="17"/>
      <c r="D40" s="17"/>
      <c r="E40" s="17"/>
      <c r="F40" s="17"/>
      <c r="G40" s="17"/>
      <c r="H40" s="17"/>
      <c r="I40" s="17"/>
      <c r="J40" s="18" t="str">
        <f t="shared" si="0"/>
        <v/>
      </c>
      <c r="K40" s="11">
        <f t="shared" si="1"/>
        <v>0</v>
      </c>
      <c r="L40" s="8"/>
    </row>
    <row r="41" spans="1:12" x14ac:dyDescent="0.3">
      <c r="A41" s="9"/>
      <c r="B41" s="17"/>
      <c r="C41" s="17"/>
      <c r="D41" s="17"/>
      <c r="E41" s="17"/>
      <c r="F41" s="17"/>
      <c r="G41" s="17"/>
      <c r="H41" s="17"/>
      <c r="I41" s="17"/>
      <c r="J41" s="18" t="str">
        <f t="shared" si="0"/>
        <v/>
      </c>
      <c r="K41" s="11">
        <f t="shared" si="1"/>
        <v>0</v>
      </c>
      <c r="L41" s="8"/>
    </row>
    <row r="42" spans="1:12" x14ac:dyDescent="0.3">
      <c r="A42" s="9"/>
      <c r="B42" s="17"/>
      <c r="C42" s="17"/>
      <c r="D42" s="17"/>
      <c r="E42" s="17"/>
      <c r="F42" s="17"/>
      <c r="G42" s="17"/>
      <c r="H42" s="17"/>
      <c r="I42" s="17"/>
      <c r="J42" s="18" t="str">
        <f t="shared" si="0"/>
        <v/>
      </c>
      <c r="K42" s="11">
        <f t="shared" si="1"/>
        <v>0</v>
      </c>
      <c r="L42" s="8"/>
    </row>
    <row r="43" spans="1:12" x14ac:dyDescent="0.3">
      <c r="A43" s="9"/>
      <c r="B43" s="17"/>
      <c r="C43" s="17"/>
      <c r="D43" s="17"/>
      <c r="E43" s="17"/>
      <c r="F43" s="17"/>
      <c r="G43" s="17"/>
      <c r="H43" s="17"/>
      <c r="I43" s="17"/>
      <c r="J43" s="18" t="str">
        <f t="shared" si="0"/>
        <v/>
      </c>
      <c r="K43" s="11">
        <f t="shared" si="1"/>
        <v>0</v>
      </c>
      <c r="L43" s="8"/>
    </row>
    <row r="44" spans="1:12" x14ac:dyDescent="0.3">
      <c r="A44" s="9"/>
      <c r="B44" s="17"/>
      <c r="C44" s="17"/>
      <c r="D44" s="17"/>
      <c r="E44" s="17"/>
      <c r="F44" s="17"/>
      <c r="G44" s="17"/>
      <c r="H44" s="17"/>
      <c r="I44" s="17"/>
      <c r="J44" s="18" t="str">
        <f t="shared" si="0"/>
        <v/>
      </c>
      <c r="K44" s="11">
        <f t="shared" si="1"/>
        <v>0</v>
      </c>
      <c r="L44" s="8"/>
    </row>
    <row r="45" spans="1:12" x14ac:dyDescent="0.3">
      <c r="A45" s="9"/>
      <c r="B45" s="17"/>
      <c r="C45" s="17"/>
      <c r="D45" s="17"/>
      <c r="E45" s="17"/>
      <c r="F45" s="17"/>
      <c r="G45" s="17"/>
      <c r="H45" s="17"/>
      <c r="I45" s="17"/>
      <c r="J45" s="18" t="str">
        <f t="shared" si="0"/>
        <v/>
      </c>
      <c r="K45" s="11">
        <f t="shared" si="1"/>
        <v>0</v>
      </c>
      <c r="L45" s="8"/>
    </row>
    <row r="46" spans="1:12" x14ac:dyDescent="0.3">
      <c r="A46" s="9"/>
      <c r="B46" s="17"/>
      <c r="C46" s="17"/>
      <c r="D46" s="17"/>
      <c r="E46" s="17"/>
      <c r="F46" s="17"/>
      <c r="G46" s="17"/>
      <c r="H46" s="17"/>
      <c r="I46" s="17"/>
      <c r="J46" s="18" t="str">
        <f t="shared" si="0"/>
        <v/>
      </c>
      <c r="K46" s="11">
        <f t="shared" si="1"/>
        <v>0</v>
      </c>
      <c r="L46" s="8"/>
    </row>
    <row r="47" spans="1:12" x14ac:dyDescent="0.3">
      <c r="A47" s="9"/>
      <c r="B47" s="17"/>
      <c r="C47" s="17"/>
      <c r="D47" s="17"/>
      <c r="E47" s="17"/>
      <c r="F47" s="17"/>
      <c r="G47" s="17"/>
      <c r="H47" s="17"/>
      <c r="I47" s="17"/>
      <c r="J47" s="18" t="str">
        <f t="shared" si="0"/>
        <v/>
      </c>
      <c r="K47" s="11">
        <f t="shared" si="1"/>
        <v>0</v>
      </c>
      <c r="L47" s="8"/>
    </row>
    <row r="48" spans="1:12" x14ac:dyDescent="0.3">
      <c r="A48" s="9"/>
      <c r="B48" s="17"/>
      <c r="C48" s="17"/>
      <c r="D48" s="17"/>
      <c r="E48" s="17"/>
      <c r="F48" s="17"/>
      <c r="G48" s="17"/>
      <c r="H48" s="17"/>
      <c r="I48" s="17"/>
      <c r="J48" s="18" t="str">
        <f t="shared" si="0"/>
        <v/>
      </c>
      <c r="K48" s="11">
        <f t="shared" si="1"/>
        <v>0</v>
      </c>
      <c r="L48" s="8"/>
    </row>
    <row r="49" spans="1:12" x14ac:dyDescent="0.3">
      <c r="A49" s="9"/>
      <c r="B49" s="17"/>
      <c r="C49" s="17"/>
      <c r="D49" s="17"/>
      <c r="E49" s="17"/>
      <c r="F49" s="17"/>
      <c r="G49" s="17"/>
      <c r="H49" s="17"/>
      <c r="I49" s="17"/>
      <c r="J49" s="18" t="str">
        <f t="shared" si="0"/>
        <v/>
      </c>
      <c r="K49" s="11">
        <f t="shared" si="1"/>
        <v>0</v>
      </c>
      <c r="L49" s="8"/>
    </row>
    <row r="50" spans="1:12" x14ac:dyDescent="0.3">
      <c r="A50" s="9"/>
      <c r="B50" s="17"/>
      <c r="C50" s="17"/>
      <c r="D50" s="17"/>
      <c r="E50" s="17"/>
      <c r="F50" s="17"/>
      <c r="G50" s="17"/>
      <c r="H50" s="17"/>
      <c r="I50" s="17"/>
      <c r="J50" s="18" t="str">
        <f t="shared" si="0"/>
        <v/>
      </c>
      <c r="K50" s="11">
        <f t="shared" si="1"/>
        <v>0</v>
      </c>
      <c r="L50" s="8"/>
    </row>
    <row r="51" spans="1:12" x14ac:dyDescent="0.3">
      <c r="A51" s="9"/>
      <c r="B51" s="17"/>
      <c r="C51" s="17"/>
      <c r="D51" s="17"/>
      <c r="E51" s="17"/>
      <c r="F51" s="17"/>
      <c r="G51" s="17"/>
      <c r="H51" s="17"/>
      <c r="I51" s="17"/>
      <c r="J51" s="18" t="str">
        <f t="shared" si="0"/>
        <v/>
      </c>
      <c r="K51" s="11">
        <f t="shared" si="1"/>
        <v>0</v>
      </c>
      <c r="L51" s="8"/>
    </row>
    <row r="52" spans="1:12" x14ac:dyDescent="0.3">
      <c r="A52" s="9"/>
      <c r="B52" s="17"/>
      <c r="C52" s="17"/>
      <c r="D52" s="17"/>
      <c r="E52" s="17"/>
      <c r="F52" s="17"/>
      <c r="G52" s="17"/>
      <c r="H52" s="17"/>
      <c r="I52" s="17"/>
      <c r="J52" s="18" t="str">
        <f t="shared" si="0"/>
        <v/>
      </c>
      <c r="K52" s="11">
        <f t="shared" si="1"/>
        <v>0</v>
      </c>
      <c r="L52" s="8"/>
    </row>
    <row r="53" spans="1:12" x14ac:dyDescent="0.3">
      <c r="A53" s="9"/>
      <c r="B53" s="17"/>
      <c r="C53" s="17"/>
      <c r="D53" s="17"/>
      <c r="E53" s="17"/>
      <c r="F53" s="17"/>
      <c r="G53" s="17"/>
      <c r="H53" s="17"/>
      <c r="I53" s="17"/>
      <c r="J53" s="18" t="str">
        <f t="shared" si="0"/>
        <v/>
      </c>
      <c r="K53" s="11">
        <f t="shared" si="1"/>
        <v>0</v>
      </c>
      <c r="L53" s="8"/>
    </row>
    <row r="54" spans="1:12" x14ac:dyDescent="0.3">
      <c r="A54" s="9"/>
      <c r="B54" s="17"/>
      <c r="C54" s="17"/>
      <c r="D54" s="17"/>
      <c r="E54" s="17"/>
      <c r="F54" s="17"/>
      <c r="G54" s="17"/>
      <c r="H54" s="17"/>
      <c r="I54" s="17"/>
      <c r="J54" s="18" t="str">
        <f t="shared" si="0"/>
        <v/>
      </c>
      <c r="K54" s="11">
        <f t="shared" si="1"/>
        <v>0</v>
      </c>
      <c r="L54" s="8"/>
    </row>
    <row r="55" spans="1:12" x14ac:dyDescent="0.3">
      <c r="A55" s="9"/>
      <c r="B55" s="17"/>
      <c r="C55" s="17"/>
      <c r="D55" s="17"/>
      <c r="E55" s="17"/>
      <c r="F55" s="17"/>
      <c r="G55" s="17"/>
      <c r="H55" s="17"/>
      <c r="I55" s="17"/>
      <c r="J55" s="18" t="str">
        <f t="shared" si="0"/>
        <v/>
      </c>
      <c r="K55" s="11">
        <f t="shared" si="1"/>
        <v>0</v>
      </c>
      <c r="L55" s="8"/>
    </row>
    <row r="56" spans="1:12" x14ac:dyDescent="0.3">
      <c r="A56" s="9"/>
      <c r="B56" s="17"/>
      <c r="C56" s="17"/>
      <c r="D56" s="17"/>
      <c r="E56" s="17"/>
      <c r="F56" s="17"/>
      <c r="G56" s="17"/>
      <c r="H56" s="17"/>
      <c r="I56" s="17"/>
      <c r="J56" s="18" t="str">
        <f t="shared" si="0"/>
        <v/>
      </c>
      <c r="K56" s="11">
        <f t="shared" si="1"/>
        <v>0</v>
      </c>
      <c r="L56" s="8"/>
    </row>
    <row r="57" spans="1:12" x14ac:dyDescent="0.3">
      <c r="A57" s="9"/>
      <c r="B57" s="17"/>
      <c r="C57" s="17"/>
      <c r="D57" s="17"/>
      <c r="E57" s="17"/>
      <c r="F57" s="17"/>
      <c r="G57" s="17"/>
      <c r="H57" s="17"/>
      <c r="I57" s="17"/>
      <c r="J57" s="18" t="str">
        <f t="shared" si="0"/>
        <v/>
      </c>
      <c r="K57" s="11">
        <f t="shared" si="1"/>
        <v>0</v>
      </c>
      <c r="L57" s="8"/>
    </row>
    <row r="58" spans="1:12" x14ac:dyDescent="0.3">
      <c r="A58" s="9"/>
      <c r="B58" s="17"/>
      <c r="C58" s="17"/>
      <c r="D58" s="17"/>
      <c r="E58" s="17"/>
      <c r="F58" s="17"/>
      <c r="G58" s="17"/>
      <c r="H58" s="17"/>
      <c r="I58" s="17"/>
      <c r="J58" s="18" t="str">
        <f t="shared" si="0"/>
        <v/>
      </c>
      <c r="K58" s="11">
        <f t="shared" si="1"/>
        <v>0</v>
      </c>
      <c r="L58" s="8"/>
    </row>
    <row r="59" spans="1:12" x14ac:dyDescent="0.3">
      <c r="A59" s="9"/>
      <c r="B59" s="17"/>
      <c r="C59" s="17"/>
      <c r="D59" s="17"/>
      <c r="E59" s="17"/>
      <c r="F59" s="17"/>
      <c r="G59" s="17"/>
      <c r="H59" s="17"/>
      <c r="I59" s="17"/>
      <c r="J59" s="18" t="str">
        <f t="shared" si="0"/>
        <v/>
      </c>
      <c r="K59" s="11">
        <f t="shared" si="1"/>
        <v>0</v>
      </c>
      <c r="L59" s="8"/>
    </row>
    <row r="60" spans="1:12" x14ac:dyDescent="0.3">
      <c r="A60" s="9"/>
      <c r="B60" s="17"/>
      <c r="C60" s="17"/>
      <c r="D60" s="17"/>
      <c r="E60" s="17"/>
      <c r="F60" s="17"/>
      <c r="G60" s="17"/>
      <c r="H60" s="17"/>
      <c r="I60" s="17"/>
      <c r="J60" s="18" t="str">
        <f t="shared" si="0"/>
        <v/>
      </c>
      <c r="K60" s="11">
        <f t="shared" si="1"/>
        <v>0</v>
      </c>
      <c r="L60" s="8"/>
    </row>
    <row r="61" spans="1:12" x14ac:dyDescent="0.3">
      <c r="A61" s="9"/>
      <c r="B61" s="17"/>
      <c r="C61" s="17"/>
      <c r="D61" s="17"/>
      <c r="E61" s="17"/>
      <c r="F61" s="17"/>
      <c r="G61" s="17"/>
      <c r="H61" s="17"/>
      <c r="I61" s="17"/>
      <c r="J61" s="18" t="str">
        <f t="shared" si="0"/>
        <v/>
      </c>
      <c r="K61" s="11">
        <f t="shared" si="1"/>
        <v>0</v>
      </c>
      <c r="L61" s="8"/>
    </row>
    <row r="62" spans="1:12" x14ac:dyDescent="0.3">
      <c r="A62" s="9"/>
      <c r="B62" s="17"/>
      <c r="C62" s="17"/>
      <c r="D62" s="17"/>
      <c r="E62" s="17"/>
      <c r="F62" s="17"/>
      <c r="G62" s="17"/>
      <c r="H62" s="17"/>
      <c r="I62" s="17"/>
      <c r="J62" s="18" t="str">
        <f t="shared" si="0"/>
        <v/>
      </c>
      <c r="K62" s="11">
        <f t="shared" si="1"/>
        <v>0</v>
      </c>
      <c r="L62" s="8"/>
    </row>
    <row r="63" spans="1:12" x14ac:dyDescent="0.3">
      <c r="A63" s="9"/>
      <c r="B63" s="17"/>
      <c r="C63" s="17"/>
      <c r="D63" s="17"/>
      <c r="E63" s="17"/>
      <c r="F63" s="17"/>
      <c r="G63" s="17"/>
      <c r="H63" s="17"/>
      <c r="I63" s="17"/>
      <c r="J63" s="18" t="str">
        <f t="shared" si="0"/>
        <v/>
      </c>
      <c r="K63" s="11">
        <f t="shared" si="1"/>
        <v>0</v>
      </c>
      <c r="L63" s="8"/>
    </row>
    <row r="64" spans="1:12" x14ac:dyDescent="0.3">
      <c r="A64" s="9"/>
      <c r="B64" s="17"/>
      <c r="C64" s="17"/>
      <c r="D64" s="17"/>
      <c r="E64" s="17"/>
      <c r="F64" s="17"/>
      <c r="G64" s="17"/>
      <c r="H64" s="17"/>
      <c r="I64" s="17"/>
      <c r="J64" s="18" t="str">
        <f t="shared" si="0"/>
        <v/>
      </c>
      <c r="K64" s="11">
        <f t="shared" si="1"/>
        <v>0</v>
      </c>
      <c r="L64" s="8"/>
    </row>
    <row r="65" spans="1:12" x14ac:dyDescent="0.3">
      <c r="A65" s="9"/>
      <c r="B65" s="17"/>
      <c r="C65" s="17"/>
      <c r="D65" s="17"/>
      <c r="E65" s="17"/>
      <c r="F65" s="17"/>
      <c r="G65" s="17"/>
      <c r="H65" s="17"/>
      <c r="I65" s="17"/>
      <c r="J65" s="18" t="str">
        <f t="shared" si="0"/>
        <v/>
      </c>
      <c r="K65" s="11">
        <f t="shared" si="1"/>
        <v>0</v>
      </c>
      <c r="L65" s="8"/>
    </row>
    <row r="66" spans="1:12" x14ac:dyDescent="0.3">
      <c r="A66" s="9"/>
      <c r="B66" s="17"/>
      <c r="C66" s="17"/>
      <c r="D66" s="17"/>
      <c r="E66" s="17"/>
      <c r="F66" s="17"/>
      <c r="G66" s="17"/>
      <c r="H66" s="17"/>
      <c r="I66" s="17"/>
      <c r="J66" s="18" t="str">
        <f t="shared" si="0"/>
        <v/>
      </c>
      <c r="K66" s="11">
        <f t="shared" si="1"/>
        <v>0</v>
      </c>
      <c r="L66" s="8"/>
    </row>
    <row r="67" spans="1:12" x14ac:dyDescent="0.3">
      <c r="A67" s="9"/>
      <c r="B67" s="17"/>
      <c r="C67" s="17"/>
      <c r="D67" s="17"/>
      <c r="E67" s="17"/>
      <c r="F67" s="17"/>
      <c r="G67" s="17"/>
      <c r="H67" s="17"/>
      <c r="I67" s="17"/>
      <c r="J67" s="18" t="str">
        <f t="shared" si="0"/>
        <v/>
      </c>
      <c r="K67" s="11">
        <f t="shared" si="1"/>
        <v>0</v>
      </c>
      <c r="L67" s="8"/>
    </row>
    <row r="68" spans="1:12" x14ac:dyDescent="0.3">
      <c r="A68" s="9"/>
      <c r="B68" s="17"/>
      <c r="C68" s="17"/>
      <c r="D68" s="17"/>
      <c r="E68" s="17"/>
      <c r="F68" s="17"/>
      <c r="G68" s="17"/>
      <c r="H68" s="17"/>
      <c r="I68" s="17"/>
      <c r="J68" s="18" t="str">
        <f t="shared" si="0"/>
        <v/>
      </c>
      <c r="K68" s="11">
        <f t="shared" si="1"/>
        <v>0</v>
      </c>
      <c r="L68" s="8"/>
    </row>
    <row r="69" spans="1:12" x14ac:dyDescent="0.3">
      <c r="A69" s="9"/>
      <c r="B69" s="17"/>
      <c r="C69" s="17"/>
      <c r="D69" s="17"/>
      <c r="E69" s="17"/>
      <c r="F69" s="17"/>
      <c r="G69" s="17"/>
      <c r="H69" s="17"/>
      <c r="I69" s="17"/>
      <c r="J69" s="18" t="str">
        <f t="shared" ref="J69:J132" si="2">IF(OR(I69="",B69=""),"",I69-B69)</f>
        <v/>
      </c>
      <c r="K69" s="11">
        <f t="shared" ref="K69:K132" si="3">IFERROR(J69/B69,0)</f>
        <v>0</v>
      </c>
      <c r="L69" s="8"/>
    </row>
    <row r="70" spans="1:12" x14ac:dyDescent="0.3">
      <c r="A70" s="9"/>
      <c r="B70" s="17"/>
      <c r="C70" s="17"/>
      <c r="D70" s="17"/>
      <c r="E70" s="17"/>
      <c r="F70" s="17"/>
      <c r="G70" s="17"/>
      <c r="H70" s="17"/>
      <c r="I70" s="17"/>
      <c r="J70" s="18" t="str">
        <f t="shared" si="2"/>
        <v/>
      </c>
      <c r="K70" s="11">
        <f t="shared" si="3"/>
        <v>0</v>
      </c>
      <c r="L70" s="8"/>
    </row>
    <row r="71" spans="1:12" x14ac:dyDescent="0.3">
      <c r="A71" s="9"/>
      <c r="B71" s="17"/>
      <c r="C71" s="17"/>
      <c r="D71" s="17"/>
      <c r="E71" s="17"/>
      <c r="F71" s="17"/>
      <c r="G71" s="17"/>
      <c r="H71" s="17"/>
      <c r="I71" s="17"/>
      <c r="J71" s="18" t="str">
        <f t="shared" si="2"/>
        <v/>
      </c>
      <c r="K71" s="11">
        <f t="shared" si="3"/>
        <v>0</v>
      </c>
      <c r="L71" s="8"/>
    </row>
    <row r="72" spans="1:12" x14ac:dyDescent="0.3">
      <c r="A72" s="9"/>
      <c r="B72" s="17"/>
      <c r="C72" s="17"/>
      <c r="D72" s="17"/>
      <c r="E72" s="17"/>
      <c r="F72" s="17"/>
      <c r="G72" s="17"/>
      <c r="H72" s="17"/>
      <c r="I72" s="17"/>
      <c r="J72" s="18" t="str">
        <f t="shared" si="2"/>
        <v/>
      </c>
      <c r="K72" s="11">
        <f t="shared" si="3"/>
        <v>0</v>
      </c>
      <c r="L72" s="8"/>
    </row>
    <row r="73" spans="1:12" x14ac:dyDescent="0.3">
      <c r="A73" s="9"/>
      <c r="B73" s="17"/>
      <c r="C73" s="17"/>
      <c r="D73" s="17"/>
      <c r="E73" s="17"/>
      <c r="F73" s="17"/>
      <c r="G73" s="17"/>
      <c r="H73" s="17"/>
      <c r="I73" s="17"/>
      <c r="J73" s="18" t="str">
        <f t="shared" si="2"/>
        <v/>
      </c>
      <c r="K73" s="11">
        <f t="shared" si="3"/>
        <v>0</v>
      </c>
      <c r="L73" s="8"/>
    </row>
    <row r="74" spans="1:12" x14ac:dyDescent="0.3">
      <c r="A74" s="9"/>
      <c r="B74" s="17"/>
      <c r="C74" s="17"/>
      <c r="D74" s="17"/>
      <c r="E74" s="17"/>
      <c r="F74" s="17"/>
      <c r="G74" s="17"/>
      <c r="H74" s="17"/>
      <c r="I74" s="17"/>
      <c r="J74" s="18" t="str">
        <f t="shared" si="2"/>
        <v/>
      </c>
      <c r="K74" s="11">
        <f t="shared" si="3"/>
        <v>0</v>
      </c>
      <c r="L74" s="8"/>
    </row>
    <row r="75" spans="1:12" x14ac:dyDescent="0.3">
      <c r="A75" s="9"/>
      <c r="B75" s="17"/>
      <c r="C75" s="17"/>
      <c r="D75" s="17"/>
      <c r="E75" s="17"/>
      <c r="F75" s="17"/>
      <c r="G75" s="17"/>
      <c r="H75" s="17"/>
      <c r="I75" s="17"/>
      <c r="J75" s="18" t="str">
        <f t="shared" si="2"/>
        <v/>
      </c>
      <c r="K75" s="11">
        <f t="shared" si="3"/>
        <v>0</v>
      </c>
      <c r="L75" s="8"/>
    </row>
    <row r="76" spans="1:12" x14ac:dyDescent="0.3">
      <c r="A76" s="9"/>
      <c r="B76" s="17"/>
      <c r="C76" s="17"/>
      <c r="D76" s="17"/>
      <c r="E76" s="17"/>
      <c r="F76" s="17"/>
      <c r="G76" s="17"/>
      <c r="H76" s="17"/>
      <c r="I76" s="17"/>
      <c r="J76" s="18" t="str">
        <f t="shared" si="2"/>
        <v/>
      </c>
      <c r="K76" s="11">
        <f t="shared" si="3"/>
        <v>0</v>
      </c>
      <c r="L76" s="8"/>
    </row>
    <row r="77" spans="1:12" x14ac:dyDescent="0.3">
      <c r="A77" s="9"/>
      <c r="B77" s="17"/>
      <c r="C77" s="17"/>
      <c r="D77" s="17"/>
      <c r="E77" s="17"/>
      <c r="F77" s="17"/>
      <c r="G77" s="17"/>
      <c r="H77" s="17"/>
      <c r="I77" s="17"/>
      <c r="J77" s="18" t="str">
        <f t="shared" si="2"/>
        <v/>
      </c>
      <c r="K77" s="11">
        <f t="shared" si="3"/>
        <v>0</v>
      </c>
      <c r="L77" s="8"/>
    </row>
    <row r="78" spans="1:12" x14ac:dyDescent="0.3">
      <c r="A78" s="9"/>
      <c r="B78" s="17"/>
      <c r="C78" s="17"/>
      <c r="D78" s="17"/>
      <c r="E78" s="17"/>
      <c r="F78" s="17"/>
      <c r="G78" s="17"/>
      <c r="H78" s="17"/>
      <c r="I78" s="17"/>
      <c r="J78" s="18" t="str">
        <f t="shared" si="2"/>
        <v/>
      </c>
      <c r="K78" s="11">
        <f t="shared" si="3"/>
        <v>0</v>
      </c>
      <c r="L78" s="8"/>
    </row>
    <row r="79" spans="1:12" x14ac:dyDescent="0.3">
      <c r="A79" s="9"/>
      <c r="B79" s="17"/>
      <c r="C79" s="17"/>
      <c r="D79" s="17"/>
      <c r="E79" s="17"/>
      <c r="F79" s="17"/>
      <c r="G79" s="17"/>
      <c r="H79" s="17"/>
      <c r="I79" s="17"/>
      <c r="J79" s="18" t="str">
        <f t="shared" si="2"/>
        <v/>
      </c>
      <c r="K79" s="11">
        <f t="shared" si="3"/>
        <v>0</v>
      </c>
      <c r="L79" s="8"/>
    </row>
    <row r="80" spans="1:12" x14ac:dyDescent="0.3">
      <c r="A80" s="9"/>
      <c r="B80" s="17"/>
      <c r="C80" s="17"/>
      <c r="D80" s="17"/>
      <c r="E80" s="17"/>
      <c r="F80" s="17"/>
      <c r="G80" s="17"/>
      <c r="H80" s="17"/>
      <c r="I80" s="17"/>
      <c r="J80" s="18" t="str">
        <f t="shared" si="2"/>
        <v/>
      </c>
      <c r="K80" s="11">
        <f t="shared" si="3"/>
        <v>0</v>
      </c>
      <c r="L80" s="8"/>
    </row>
    <row r="81" spans="1:12" x14ac:dyDescent="0.3">
      <c r="A81" s="9"/>
      <c r="B81" s="17"/>
      <c r="C81" s="17"/>
      <c r="D81" s="17"/>
      <c r="E81" s="17"/>
      <c r="F81" s="17"/>
      <c r="G81" s="17"/>
      <c r="H81" s="17"/>
      <c r="I81" s="17"/>
      <c r="J81" s="18" t="str">
        <f t="shared" si="2"/>
        <v/>
      </c>
      <c r="K81" s="11">
        <f t="shared" si="3"/>
        <v>0</v>
      </c>
      <c r="L81" s="8"/>
    </row>
    <row r="82" spans="1:12" x14ac:dyDescent="0.3">
      <c r="A82" s="9"/>
      <c r="B82" s="17"/>
      <c r="C82" s="17"/>
      <c r="D82" s="17"/>
      <c r="E82" s="17"/>
      <c r="F82" s="17"/>
      <c r="G82" s="17"/>
      <c r="H82" s="17"/>
      <c r="I82" s="17"/>
      <c r="J82" s="18" t="str">
        <f t="shared" si="2"/>
        <v/>
      </c>
      <c r="K82" s="11">
        <f t="shared" si="3"/>
        <v>0</v>
      </c>
      <c r="L82" s="8"/>
    </row>
    <row r="83" spans="1:12" x14ac:dyDescent="0.3">
      <c r="A83" s="9"/>
      <c r="B83" s="17"/>
      <c r="C83" s="17"/>
      <c r="D83" s="17"/>
      <c r="E83" s="17"/>
      <c r="F83" s="17"/>
      <c r="G83" s="17"/>
      <c r="H83" s="17"/>
      <c r="I83" s="17"/>
      <c r="J83" s="18" t="str">
        <f t="shared" si="2"/>
        <v/>
      </c>
      <c r="K83" s="11">
        <f t="shared" si="3"/>
        <v>0</v>
      </c>
      <c r="L83" s="8"/>
    </row>
    <row r="84" spans="1:12" x14ac:dyDescent="0.3">
      <c r="A84" s="9"/>
      <c r="B84" s="17"/>
      <c r="C84" s="17"/>
      <c r="D84" s="17"/>
      <c r="E84" s="17"/>
      <c r="F84" s="17"/>
      <c r="G84" s="17"/>
      <c r="H84" s="17"/>
      <c r="I84" s="17"/>
      <c r="J84" s="18" t="str">
        <f t="shared" si="2"/>
        <v/>
      </c>
      <c r="K84" s="11">
        <f t="shared" si="3"/>
        <v>0</v>
      </c>
      <c r="L84" s="8"/>
    </row>
    <row r="85" spans="1:12" x14ac:dyDescent="0.3">
      <c r="A85" s="9"/>
      <c r="B85" s="17"/>
      <c r="C85" s="17"/>
      <c r="D85" s="17"/>
      <c r="E85" s="17"/>
      <c r="F85" s="17"/>
      <c r="G85" s="17"/>
      <c r="H85" s="17"/>
      <c r="I85" s="17"/>
      <c r="J85" s="18" t="str">
        <f t="shared" si="2"/>
        <v/>
      </c>
      <c r="K85" s="11">
        <f t="shared" si="3"/>
        <v>0</v>
      </c>
      <c r="L85" s="8"/>
    </row>
    <row r="86" spans="1:12" x14ac:dyDescent="0.3">
      <c r="A86" s="9"/>
      <c r="B86" s="17"/>
      <c r="C86" s="17"/>
      <c r="D86" s="17"/>
      <c r="E86" s="17"/>
      <c r="F86" s="17"/>
      <c r="G86" s="17"/>
      <c r="H86" s="17"/>
      <c r="I86" s="17"/>
      <c r="J86" s="18" t="str">
        <f t="shared" si="2"/>
        <v/>
      </c>
      <c r="K86" s="11">
        <f t="shared" si="3"/>
        <v>0</v>
      </c>
      <c r="L86" s="8"/>
    </row>
    <row r="87" spans="1:12" x14ac:dyDescent="0.3">
      <c r="A87" s="9"/>
      <c r="B87" s="17"/>
      <c r="C87" s="17"/>
      <c r="D87" s="17"/>
      <c r="E87" s="17"/>
      <c r="F87" s="17"/>
      <c r="G87" s="17"/>
      <c r="H87" s="17"/>
      <c r="I87" s="17"/>
      <c r="J87" s="18" t="str">
        <f t="shared" si="2"/>
        <v/>
      </c>
      <c r="K87" s="11">
        <f t="shared" si="3"/>
        <v>0</v>
      </c>
      <c r="L87" s="8"/>
    </row>
    <row r="88" spans="1:12" x14ac:dyDescent="0.3">
      <c r="A88" s="9"/>
      <c r="B88" s="17"/>
      <c r="C88" s="17"/>
      <c r="D88" s="17"/>
      <c r="E88" s="17"/>
      <c r="F88" s="17"/>
      <c r="G88" s="17"/>
      <c r="H88" s="17"/>
      <c r="I88" s="17"/>
      <c r="J88" s="18" t="str">
        <f t="shared" si="2"/>
        <v/>
      </c>
      <c r="K88" s="11">
        <f t="shared" si="3"/>
        <v>0</v>
      </c>
      <c r="L88" s="8"/>
    </row>
    <row r="89" spans="1:12" x14ac:dyDescent="0.3">
      <c r="A89" s="9"/>
      <c r="B89" s="17"/>
      <c r="C89" s="17"/>
      <c r="D89" s="17"/>
      <c r="E89" s="17"/>
      <c r="F89" s="17"/>
      <c r="G89" s="17"/>
      <c r="H89" s="17"/>
      <c r="I89" s="17"/>
      <c r="J89" s="18" t="str">
        <f t="shared" si="2"/>
        <v/>
      </c>
      <c r="K89" s="11">
        <f t="shared" si="3"/>
        <v>0</v>
      </c>
      <c r="L89" s="8"/>
    </row>
    <row r="90" spans="1:12" x14ac:dyDescent="0.3">
      <c r="A90" s="9"/>
      <c r="B90" s="17"/>
      <c r="C90" s="17"/>
      <c r="D90" s="17"/>
      <c r="E90" s="17"/>
      <c r="F90" s="17"/>
      <c r="G90" s="17"/>
      <c r="H90" s="17"/>
      <c r="I90" s="17"/>
      <c r="J90" s="18" t="str">
        <f t="shared" si="2"/>
        <v/>
      </c>
      <c r="K90" s="11">
        <f t="shared" si="3"/>
        <v>0</v>
      </c>
      <c r="L90" s="8"/>
    </row>
    <row r="91" spans="1:12" x14ac:dyDescent="0.3">
      <c r="A91" s="9"/>
      <c r="B91" s="17"/>
      <c r="C91" s="17"/>
      <c r="D91" s="17"/>
      <c r="E91" s="17"/>
      <c r="F91" s="17"/>
      <c r="G91" s="17"/>
      <c r="H91" s="17"/>
      <c r="I91" s="17"/>
      <c r="J91" s="18" t="str">
        <f t="shared" si="2"/>
        <v/>
      </c>
      <c r="K91" s="11">
        <f t="shared" si="3"/>
        <v>0</v>
      </c>
      <c r="L91" s="8"/>
    </row>
    <row r="92" spans="1:12" x14ac:dyDescent="0.3">
      <c r="A92" s="9"/>
      <c r="B92" s="17"/>
      <c r="C92" s="17"/>
      <c r="D92" s="17"/>
      <c r="E92" s="17"/>
      <c r="F92" s="17"/>
      <c r="G92" s="17"/>
      <c r="H92" s="17"/>
      <c r="I92" s="17"/>
      <c r="J92" s="18" t="str">
        <f t="shared" si="2"/>
        <v/>
      </c>
      <c r="K92" s="11">
        <f t="shared" si="3"/>
        <v>0</v>
      </c>
      <c r="L92" s="8"/>
    </row>
    <row r="93" spans="1:12" x14ac:dyDescent="0.3">
      <c r="A93" s="9"/>
      <c r="B93" s="17"/>
      <c r="C93" s="17"/>
      <c r="D93" s="17"/>
      <c r="E93" s="17"/>
      <c r="F93" s="17"/>
      <c r="G93" s="17"/>
      <c r="H93" s="17"/>
      <c r="I93" s="17"/>
      <c r="J93" s="18" t="str">
        <f t="shared" si="2"/>
        <v/>
      </c>
      <c r="K93" s="11">
        <f t="shared" si="3"/>
        <v>0</v>
      </c>
      <c r="L93" s="8"/>
    </row>
    <row r="94" spans="1:12" x14ac:dyDescent="0.3">
      <c r="A94" s="9"/>
      <c r="B94" s="17"/>
      <c r="C94" s="17"/>
      <c r="D94" s="17"/>
      <c r="E94" s="17"/>
      <c r="F94" s="17"/>
      <c r="G94" s="17"/>
      <c r="H94" s="17"/>
      <c r="I94" s="17"/>
      <c r="J94" s="18" t="str">
        <f t="shared" si="2"/>
        <v/>
      </c>
      <c r="K94" s="11">
        <f t="shared" si="3"/>
        <v>0</v>
      </c>
      <c r="L94" s="8"/>
    </row>
    <row r="95" spans="1:12" x14ac:dyDescent="0.3">
      <c r="A95" s="9"/>
      <c r="B95" s="17"/>
      <c r="C95" s="17"/>
      <c r="D95" s="17"/>
      <c r="E95" s="17"/>
      <c r="F95" s="17"/>
      <c r="G95" s="17"/>
      <c r="H95" s="17"/>
      <c r="I95" s="17"/>
      <c r="J95" s="18" t="str">
        <f t="shared" si="2"/>
        <v/>
      </c>
      <c r="K95" s="11">
        <f t="shared" si="3"/>
        <v>0</v>
      </c>
      <c r="L95" s="8"/>
    </row>
    <row r="96" spans="1:12" x14ac:dyDescent="0.3">
      <c r="A96" s="9"/>
      <c r="B96" s="17"/>
      <c r="C96" s="17"/>
      <c r="D96" s="17"/>
      <c r="E96" s="17"/>
      <c r="F96" s="17"/>
      <c r="G96" s="17"/>
      <c r="H96" s="17"/>
      <c r="I96" s="17"/>
      <c r="J96" s="18" t="str">
        <f t="shared" si="2"/>
        <v/>
      </c>
      <c r="K96" s="11">
        <f t="shared" si="3"/>
        <v>0</v>
      </c>
      <c r="L96" s="8"/>
    </row>
    <row r="97" spans="1:12" x14ac:dyDescent="0.3">
      <c r="A97" s="9"/>
      <c r="B97" s="17"/>
      <c r="C97" s="17"/>
      <c r="D97" s="17"/>
      <c r="E97" s="17"/>
      <c r="F97" s="17"/>
      <c r="G97" s="17"/>
      <c r="H97" s="17"/>
      <c r="I97" s="17"/>
      <c r="J97" s="18" t="str">
        <f t="shared" si="2"/>
        <v/>
      </c>
      <c r="K97" s="11">
        <f t="shared" si="3"/>
        <v>0</v>
      </c>
      <c r="L97" s="8"/>
    </row>
    <row r="98" spans="1:12" x14ac:dyDescent="0.3">
      <c r="A98" s="9"/>
      <c r="B98" s="17"/>
      <c r="C98" s="17"/>
      <c r="D98" s="17"/>
      <c r="E98" s="17"/>
      <c r="F98" s="17"/>
      <c r="G98" s="17"/>
      <c r="H98" s="17"/>
      <c r="I98" s="17"/>
      <c r="J98" s="18" t="str">
        <f t="shared" si="2"/>
        <v/>
      </c>
      <c r="K98" s="11">
        <f t="shared" si="3"/>
        <v>0</v>
      </c>
      <c r="L98" s="8"/>
    </row>
    <row r="99" spans="1:12" x14ac:dyDescent="0.3">
      <c r="A99" s="9"/>
      <c r="B99" s="17"/>
      <c r="C99" s="17"/>
      <c r="D99" s="17"/>
      <c r="E99" s="17"/>
      <c r="F99" s="17"/>
      <c r="G99" s="17"/>
      <c r="H99" s="17"/>
      <c r="I99" s="17"/>
      <c r="J99" s="18" t="str">
        <f t="shared" si="2"/>
        <v/>
      </c>
      <c r="K99" s="11">
        <f t="shared" si="3"/>
        <v>0</v>
      </c>
      <c r="L99" s="8"/>
    </row>
    <row r="100" spans="1:12" x14ac:dyDescent="0.3">
      <c r="A100" s="9"/>
      <c r="B100" s="17"/>
      <c r="C100" s="17"/>
      <c r="D100" s="17"/>
      <c r="E100" s="17"/>
      <c r="F100" s="17"/>
      <c r="G100" s="17"/>
      <c r="H100" s="17"/>
      <c r="I100" s="17"/>
      <c r="J100" s="18" t="str">
        <f t="shared" si="2"/>
        <v/>
      </c>
      <c r="K100" s="11">
        <f t="shared" si="3"/>
        <v>0</v>
      </c>
      <c r="L100" s="8"/>
    </row>
    <row r="101" spans="1:12" x14ac:dyDescent="0.3">
      <c r="A101" s="9"/>
      <c r="B101" s="17"/>
      <c r="C101" s="17"/>
      <c r="D101" s="17"/>
      <c r="E101" s="17"/>
      <c r="F101" s="17"/>
      <c r="G101" s="17"/>
      <c r="H101" s="17"/>
      <c r="I101" s="17"/>
      <c r="J101" s="18" t="str">
        <f t="shared" si="2"/>
        <v/>
      </c>
      <c r="K101" s="11">
        <f t="shared" si="3"/>
        <v>0</v>
      </c>
      <c r="L101" s="8"/>
    </row>
    <row r="102" spans="1:12" x14ac:dyDescent="0.3">
      <c r="A102" s="9"/>
      <c r="B102" s="17"/>
      <c r="C102" s="17"/>
      <c r="D102" s="17"/>
      <c r="E102" s="17"/>
      <c r="F102" s="17"/>
      <c r="G102" s="17"/>
      <c r="H102" s="17"/>
      <c r="I102" s="17"/>
      <c r="J102" s="18" t="str">
        <f t="shared" si="2"/>
        <v/>
      </c>
      <c r="K102" s="11">
        <f t="shared" si="3"/>
        <v>0</v>
      </c>
      <c r="L102" s="8"/>
    </row>
    <row r="103" spans="1:12" x14ac:dyDescent="0.3">
      <c r="A103" s="9"/>
      <c r="B103" s="17"/>
      <c r="C103" s="17"/>
      <c r="D103" s="17"/>
      <c r="E103" s="17"/>
      <c r="F103" s="17"/>
      <c r="G103" s="17"/>
      <c r="H103" s="17"/>
      <c r="I103" s="17"/>
      <c r="J103" s="18" t="str">
        <f t="shared" si="2"/>
        <v/>
      </c>
      <c r="K103" s="11">
        <f t="shared" si="3"/>
        <v>0</v>
      </c>
      <c r="L103" s="8"/>
    </row>
    <row r="104" spans="1:12" x14ac:dyDescent="0.3">
      <c r="A104" s="9"/>
      <c r="B104" s="17"/>
      <c r="C104" s="17"/>
      <c r="D104" s="17"/>
      <c r="E104" s="17"/>
      <c r="F104" s="17"/>
      <c r="G104" s="17"/>
      <c r="H104" s="17"/>
      <c r="I104" s="17"/>
      <c r="J104" s="18" t="str">
        <f t="shared" si="2"/>
        <v/>
      </c>
      <c r="K104" s="11">
        <f t="shared" si="3"/>
        <v>0</v>
      </c>
      <c r="L104" s="8"/>
    </row>
    <row r="105" spans="1:12" x14ac:dyDescent="0.3">
      <c r="A105" s="9"/>
      <c r="B105" s="17"/>
      <c r="C105" s="17"/>
      <c r="D105" s="17"/>
      <c r="E105" s="17"/>
      <c r="F105" s="17"/>
      <c r="G105" s="17"/>
      <c r="H105" s="17"/>
      <c r="I105" s="17"/>
      <c r="J105" s="18" t="str">
        <f t="shared" si="2"/>
        <v/>
      </c>
      <c r="K105" s="11">
        <f t="shared" si="3"/>
        <v>0</v>
      </c>
      <c r="L105" s="8"/>
    </row>
    <row r="106" spans="1:12" x14ac:dyDescent="0.3">
      <c r="A106" s="9"/>
      <c r="B106" s="17"/>
      <c r="C106" s="17"/>
      <c r="D106" s="17"/>
      <c r="E106" s="17"/>
      <c r="F106" s="17"/>
      <c r="G106" s="17"/>
      <c r="H106" s="17"/>
      <c r="I106" s="17"/>
      <c r="J106" s="18" t="str">
        <f t="shared" si="2"/>
        <v/>
      </c>
      <c r="K106" s="11">
        <f t="shared" si="3"/>
        <v>0</v>
      </c>
      <c r="L106" s="8"/>
    </row>
    <row r="107" spans="1:12" x14ac:dyDescent="0.3">
      <c r="A107" s="9"/>
      <c r="B107" s="17"/>
      <c r="C107" s="17"/>
      <c r="D107" s="17"/>
      <c r="E107" s="17"/>
      <c r="F107" s="17"/>
      <c r="G107" s="17"/>
      <c r="H107" s="17"/>
      <c r="I107" s="17"/>
      <c r="J107" s="18" t="str">
        <f t="shared" si="2"/>
        <v/>
      </c>
      <c r="K107" s="11">
        <f t="shared" si="3"/>
        <v>0</v>
      </c>
      <c r="L107" s="8"/>
    </row>
    <row r="108" spans="1:12" x14ac:dyDescent="0.3">
      <c r="A108" s="9"/>
      <c r="B108" s="17"/>
      <c r="C108" s="17"/>
      <c r="D108" s="17"/>
      <c r="E108" s="17"/>
      <c r="F108" s="17"/>
      <c r="G108" s="17"/>
      <c r="H108" s="17"/>
      <c r="I108" s="17"/>
      <c r="J108" s="18" t="str">
        <f t="shared" si="2"/>
        <v/>
      </c>
      <c r="K108" s="11">
        <f t="shared" si="3"/>
        <v>0</v>
      </c>
      <c r="L108" s="8"/>
    </row>
    <row r="109" spans="1:12" x14ac:dyDescent="0.3">
      <c r="A109" s="9"/>
      <c r="B109" s="17"/>
      <c r="C109" s="17"/>
      <c r="D109" s="17"/>
      <c r="E109" s="17"/>
      <c r="F109" s="17"/>
      <c r="G109" s="17"/>
      <c r="H109" s="17"/>
      <c r="I109" s="17"/>
      <c r="J109" s="18" t="str">
        <f t="shared" si="2"/>
        <v/>
      </c>
      <c r="K109" s="11">
        <f t="shared" si="3"/>
        <v>0</v>
      </c>
      <c r="L109" s="8"/>
    </row>
    <row r="110" spans="1:12" x14ac:dyDescent="0.3">
      <c r="A110" s="9"/>
      <c r="B110" s="17"/>
      <c r="C110" s="17"/>
      <c r="D110" s="17"/>
      <c r="E110" s="17"/>
      <c r="F110" s="17"/>
      <c r="G110" s="17"/>
      <c r="H110" s="17"/>
      <c r="I110" s="17"/>
      <c r="J110" s="18" t="str">
        <f t="shared" si="2"/>
        <v/>
      </c>
      <c r="K110" s="11">
        <f t="shared" si="3"/>
        <v>0</v>
      </c>
      <c r="L110" s="8"/>
    </row>
    <row r="111" spans="1:12" x14ac:dyDescent="0.3">
      <c r="A111" s="9"/>
      <c r="B111" s="17"/>
      <c r="C111" s="17"/>
      <c r="D111" s="17"/>
      <c r="E111" s="17"/>
      <c r="F111" s="17"/>
      <c r="G111" s="17"/>
      <c r="H111" s="17"/>
      <c r="I111" s="17"/>
      <c r="J111" s="18" t="str">
        <f t="shared" si="2"/>
        <v/>
      </c>
      <c r="K111" s="11">
        <f t="shared" si="3"/>
        <v>0</v>
      </c>
      <c r="L111" s="8"/>
    </row>
    <row r="112" spans="1:12" x14ac:dyDescent="0.3">
      <c r="A112" s="9"/>
      <c r="B112" s="17"/>
      <c r="C112" s="17"/>
      <c r="D112" s="17"/>
      <c r="E112" s="17"/>
      <c r="F112" s="17"/>
      <c r="G112" s="17"/>
      <c r="H112" s="17"/>
      <c r="I112" s="17"/>
      <c r="J112" s="18" t="str">
        <f t="shared" si="2"/>
        <v/>
      </c>
      <c r="K112" s="11">
        <f t="shared" si="3"/>
        <v>0</v>
      </c>
      <c r="L112" s="8"/>
    </row>
    <row r="113" spans="1:12" x14ac:dyDescent="0.3">
      <c r="A113" s="9"/>
      <c r="B113" s="17"/>
      <c r="C113" s="17"/>
      <c r="D113" s="17"/>
      <c r="E113" s="17"/>
      <c r="F113" s="17"/>
      <c r="G113" s="17"/>
      <c r="H113" s="17"/>
      <c r="I113" s="17"/>
      <c r="J113" s="18" t="str">
        <f t="shared" si="2"/>
        <v/>
      </c>
      <c r="K113" s="11">
        <f t="shared" si="3"/>
        <v>0</v>
      </c>
      <c r="L113" s="8"/>
    </row>
    <row r="114" spans="1:12" x14ac:dyDescent="0.3">
      <c r="A114" s="9"/>
      <c r="B114" s="17"/>
      <c r="C114" s="17"/>
      <c r="D114" s="17"/>
      <c r="E114" s="17"/>
      <c r="F114" s="17"/>
      <c r="G114" s="17"/>
      <c r="H114" s="17"/>
      <c r="I114" s="17"/>
      <c r="J114" s="18" t="str">
        <f t="shared" si="2"/>
        <v/>
      </c>
      <c r="K114" s="11">
        <f t="shared" si="3"/>
        <v>0</v>
      </c>
      <c r="L114" s="8"/>
    </row>
    <row r="115" spans="1:12" x14ac:dyDescent="0.3">
      <c r="A115" s="9"/>
      <c r="B115" s="17"/>
      <c r="C115" s="17"/>
      <c r="D115" s="17"/>
      <c r="E115" s="17"/>
      <c r="F115" s="17"/>
      <c r="G115" s="17"/>
      <c r="H115" s="17"/>
      <c r="I115" s="17"/>
      <c r="J115" s="18" t="str">
        <f t="shared" si="2"/>
        <v/>
      </c>
      <c r="K115" s="11">
        <f t="shared" si="3"/>
        <v>0</v>
      </c>
      <c r="L115" s="8"/>
    </row>
    <row r="116" spans="1:12" x14ac:dyDescent="0.3">
      <c r="A116" s="9"/>
      <c r="B116" s="17"/>
      <c r="C116" s="17"/>
      <c r="D116" s="17"/>
      <c r="E116" s="17"/>
      <c r="F116" s="17"/>
      <c r="G116" s="17"/>
      <c r="H116" s="17"/>
      <c r="I116" s="17"/>
      <c r="J116" s="18" t="str">
        <f t="shared" si="2"/>
        <v/>
      </c>
      <c r="K116" s="11">
        <f t="shared" si="3"/>
        <v>0</v>
      </c>
      <c r="L116" s="8"/>
    </row>
    <row r="117" spans="1:12" x14ac:dyDescent="0.3">
      <c r="A117" s="9"/>
      <c r="B117" s="17"/>
      <c r="C117" s="17"/>
      <c r="D117" s="17"/>
      <c r="E117" s="17"/>
      <c r="F117" s="17"/>
      <c r="G117" s="17"/>
      <c r="H117" s="17"/>
      <c r="I117" s="17"/>
      <c r="J117" s="18" t="str">
        <f t="shared" si="2"/>
        <v/>
      </c>
      <c r="K117" s="11">
        <f t="shared" si="3"/>
        <v>0</v>
      </c>
      <c r="L117" s="8"/>
    </row>
    <row r="118" spans="1:12" x14ac:dyDescent="0.3">
      <c r="A118" s="9"/>
      <c r="B118" s="17"/>
      <c r="C118" s="17"/>
      <c r="D118" s="17"/>
      <c r="E118" s="17"/>
      <c r="F118" s="17"/>
      <c r="G118" s="17"/>
      <c r="H118" s="17"/>
      <c r="I118" s="17"/>
      <c r="J118" s="18" t="str">
        <f t="shared" si="2"/>
        <v/>
      </c>
      <c r="K118" s="11">
        <f t="shared" si="3"/>
        <v>0</v>
      </c>
      <c r="L118" s="8"/>
    </row>
    <row r="119" spans="1:12" x14ac:dyDescent="0.3">
      <c r="A119" s="9"/>
      <c r="B119" s="17"/>
      <c r="C119" s="17"/>
      <c r="D119" s="17"/>
      <c r="E119" s="17"/>
      <c r="F119" s="17"/>
      <c r="G119" s="17"/>
      <c r="H119" s="17"/>
      <c r="I119" s="17"/>
      <c r="J119" s="18" t="str">
        <f t="shared" si="2"/>
        <v/>
      </c>
      <c r="K119" s="11">
        <f t="shared" si="3"/>
        <v>0</v>
      </c>
      <c r="L119" s="8"/>
    </row>
    <row r="120" spans="1:12" x14ac:dyDescent="0.3">
      <c r="A120" s="9"/>
      <c r="B120" s="17"/>
      <c r="C120" s="17"/>
      <c r="D120" s="17"/>
      <c r="E120" s="17"/>
      <c r="F120" s="17"/>
      <c r="G120" s="17"/>
      <c r="H120" s="17"/>
      <c r="I120" s="17"/>
      <c r="J120" s="18" t="str">
        <f t="shared" si="2"/>
        <v/>
      </c>
      <c r="K120" s="11">
        <f t="shared" si="3"/>
        <v>0</v>
      </c>
      <c r="L120" s="8"/>
    </row>
    <row r="121" spans="1:12" x14ac:dyDescent="0.3">
      <c r="A121" s="9"/>
      <c r="B121" s="17"/>
      <c r="C121" s="17"/>
      <c r="D121" s="17"/>
      <c r="E121" s="17"/>
      <c r="F121" s="17"/>
      <c r="G121" s="17"/>
      <c r="H121" s="17"/>
      <c r="I121" s="17"/>
      <c r="J121" s="18" t="str">
        <f t="shared" si="2"/>
        <v/>
      </c>
      <c r="K121" s="11">
        <f t="shared" si="3"/>
        <v>0</v>
      </c>
      <c r="L121" s="8"/>
    </row>
    <row r="122" spans="1:12" x14ac:dyDescent="0.3">
      <c r="A122" s="9"/>
      <c r="B122" s="17"/>
      <c r="C122" s="17"/>
      <c r="D122" s="17"/>
      <c r="E122" s="17"/>
      <c r="F122" s="17"/>
      <c r="G122" s="17"/>
      <c r="H122" s="17"/>
      <c r="I122" s="17"/>
      <c r="J122" s="18" t="str">
        <f t="shared" si="2"/>
        <v/>
      </c>
      <c r="K122" s="11">
        <f t="shared" si="3"/>
        <v>0</v>
      </c>
      <c r="L122" s="8"/>
    </row>
    <row r="123" spans="1:12" x14ac:dyDescent="0.3">
      <c r="A123" s="9"/>
      <c r="B123" s="17"/>
      <c r="C123" s="17"/>
      <c r="D123" s="17"/>
      <c r="E123" s="17"/>
      <c r="F123" s="17"/>
      <c r="G123" s="17"/>
      <c r="H123" s="17"/>
      <c r="I123" s="17"/>
      <c r="J123" s="18" t="str">
        <f t="shared" si="2"/>
        <v/>
      </c>
      <c r="K123" s="11">
        <f t="shared" si="3"/>
        <v>0</v>
      </c>
      <c r="L123" s="8"/>
    </row>
    <row r="124" spans="1:12" x14ac:dyDescent="0.3">
      <c r="A124" s="9"/>
      <c r="B124" s="17"/>
      <c r="C124" s="17"/>
      <c r="D124" s="17"/>
      <c r="E124" s="17"/>
      <c r="F124" s="17"/>
      <c r="G124" s="17"/>
      <c r="H124" s="17"/>
      <c r="I124" s="17"/>
      <c r="J124" s="18" t="str">
        <f t="shared" si="2"/>
        <v/>
      </c>
      <c r="K124" s="11">
        <f t="shared" si="3"/>
        <v>0</v>
      </c>
      <c r="L124" s="8"/>
    </row>
    <row r="125" spans="1:12" x14ac:dyDescent="0.3">
      <c r="A125" s="9"/>
      <c r="B125" s="17"/>
      <c r="C125" s="17"/>
      <c r="D125" s="17"/>
      <c r="E125" s="17"/>
      <c r="F125" s="17"/>
      <c r="G125" s="17"/>
      <c r="H125" s="17"/>
      <c r="I125" s="17"/>
      <c r="J125" s="18" t="str">
        <f t="shared" si="2"/>
        <v/>
      </c>
      <c r="K125" s="11">
        <f t="shared" si="3"/>
        <v>0</v>
      </c>
      <c r="L125" s="8"/>
    </row>
    <row r="126" spans="1:12" x14ac:dyDescent="0.3">
      <c r="A126" s="9"/>
      <c r="B126" s="17"/>
      <c r="C126" s="17"/>
      <c r="D126" s="17"/>
      <c r="E126" s="17"/>
      <c r="F126" s="17"/>
      <c r="G126" s="17"/>
      <c r="H126" s="17"/>
      <c r="I126" s="17"/>
      <c r="J126" s="18" t="str">
        <f t="shared" si="2"/>
        <v/>
      </c>
      <c r="K126" s="11">
        <f t="shared" si="3"/>
        <v>0</v>
      </c>
      <c r="L126" s="8"/>
    </row>
    <row r="127" spans="1:12" x14ac:dyDescent="0.3">
      <c r="A127" s="9"/>
      <c r="B127" s="17"/>
      <c r="C127" s="17"/>
      <c r="D127" s="17"/>
      <c r="E127" s="17"/>
      <c r="F127" s="17"/>
      <c r="G127" s="17"/>
      <c r="H127" s="17"/>
      <c r="I127" s="17"/>
      <c r="J127" s="18" t="str">
        <f t="shared" si="2"/>
        <v/>
      </c>
      <c r="K127" s="11">
        <f t="shared" si="3"/>
        <v>0</v>
      </c>
      <c r="L127" s="8"/>
    </row>
    <row r="128" spans="1:12" x14ac:dyDescent="0.3">
      <c r="A128" s="9"/>
      <c r="B128" s="17"/>
      <c r="C128" s="17"/>
      <c r="D128" s="17"/>
      <c r="E128" s="17"/>
      <c r="F128" s="17"/>
      <c r="G128" s="17"/>
      <c r="H128" s="17"/>
      <c r="I128" s="17"/>
      <c r="J128" s="18" t="str">
        <f t="shared" si="2"/>
        <v/>
      </c>
      <c r="K128" s="11">
        <f t="shared" si="3"/>
        <v>0</v>
      </c>
      <c r="L128" s="8"/>
    </row>
    <row r="129" spans="1:12" x14ac:dyDescent="0.3">
      <c r="A129" s="9"/>
      <c r="B129" s="17"/>
      <c r="C129" s="17"/>
      <c r="D129" s="17"/>
      <c r="E129" s="17"/>
      <c r="F129" s="17"/>
      <c r="G129" s="17"/>
      <c r="H129" s="17"/>
      <c r="I129" s="17"/>
      <c r="J129" s="18" t="str">
        <f t="shared" si="2"/>
        <v/>
      </c>
      <c r="K129" s="11">
        <f t="shared" si="3"/>
        <v>0</v>
      </c>
      <c r="L129" s="8"/>
    </row>
    <row r="130" spans="1:12" x14ac:dyDescent="0.3">
      <c r="A130" s="9"/>
      <c r="B130" s="17"/>
      <c r="C130" s="17"/>
      <c r="D130" s="17"/>
      <c r="E130" s="17"/>
      <c r="F130" s="17"/>
      <c r="G130" s="17"/>
      <c r="H130" s="17"/>
      <c r="I130" s="17"/>
      <c r="J130" s="18" t="str">
        <f t="shared" si="2"/>
        <v/>
      </c>
      <c r="K130" s="11">
        <f t="shared" si="3"/>
        <v>0</v>
      </c>
      <c r="L130" s="8"/>
    </row>
    <row r="131" spans="1:12" x14ac:dyDescent="0.3">
      <c r="A131" s="9"/>
      <c r="B131" s="17"/>
      <c r="C131" s="17"/>
      <c r="D131" s="17"/>
      <c r="E131" s="17"/>
      <c r="F131" s="17"/>
      <c r="G131" s="17"/>
      <c r="H131" s="17"/>
      <c r="I131" s="17"/>
      <c r="J131" s="18" t="str">
        <f t="shared" si="2"/>
        <v/>
      </c>
      <c r="K131" s="11">
        <f t="shared" si="3"/>
        <v>0</v>
      </c>
      <c r="L131" s="8"/>
    </row>
    <row r="132" spans="1:12" x14ac:dyDescent="0.3">
      <c r="A132" s="9"/>
      <c r="B132" s="17"/>
      <c r="C132" s="17"/>
      <c r="D132" s="17"/>
      <c r="E132" s="17"/>
      <c r="F132" s="17"/>
      <c r="G132" s="17"/>
      <c r="H132" s="17"/>
      <c r="I132" s="17"/>
      <c r="J132" s="18" t="str">
        <f t="shared" si="2"/>
        <v/>
      </c>
      <c r="K132" s="11">
        <f t="shared" si="3"/>
        <v>0</v>
      </c>
      <c r="L132" s="8"/>
    </row>
    <row r="133" spans="1:12" x14ac:dyDescent="0.3">
      <c r="A133" s="9"/>
      <c r="B133" s="17"/>
      <c r="C133" s="17"/>
      <c r="D133" s="17"/>
      <c r="E133" s="17"/>
      <c r="F133" s="17"/>
      <c r="G133" s="17"/>
      <c r="H133" s="17"/>
      <c r="I133" s="17"/>
      <c r="J133" s="18" t="str">
        <f t="shared" ref="J133:J196" si="4">IF(OR(I133="",B133=""),"",I133-B133)</f>
        <v/>
      </c>
      <c r="K133" s="11">
        <f t="shared" ref="K133:K196" si="5">IFERROR(J133/B133,0)</f>
        <v>0</v>
      </c>
      <c r="L133" s="8"/>
    </row>
    <row r="134" spans="1:12" x14ac:dyDescent="0.3">
      <c r="A134" s="9"/>
      <c r="B134" s="17"/>
      <c r="C134" s="17"/>
      <c r="D134" s="17"/>
      <c r="E134" s="17"/>
      <c r="F134" s="17"/>
      <c r="G134" s="17"/>
      <c r="H134" s="17"/>
      <c r="I134" s="17"/>
      <c r="J134" s="18" t="str">
        <f t="shared" si="4"/>
        <v/>
      </c>
      <c r="K134" s="11">
        <f t="shared" si="5"/>
        <v>0</v>
      </c>
      <c r="L134" s="8"/>
    </row>
    <row r="135" spans="1:12" x14ac:dyDescent="0.3">
      <c r="A135" s="9"/>
      <c r="B135" s="17"/>
      <c r="C135" s="17"/>
      <c r="D135" s="17"/>
      <c r="E135" s="17"/>
      <c r="F135" s="17"/>
      <c r="G135" s="17"/>
      <c r="H135" s="17"/>
      <c r="I135" s="17"/>
      <c r="J135" s="18" t="str">
        <f t="shared" si="4"/>
        <v/>
      </c>
      <c r="K135" s="11">
        <f t="shared" si="5"/>
        <v>0</v>
      </c>
      <c r="L135" s="8"/>
    </row>
    <row r="136" spans="1:12" x14ac:dyDescent="0.3">
      <c r="A136" s="9"/>
      <c r="B136" s="17"/>
      <c r="C136" s="17"/>
      <c r="D136" s="17"/>
      <c r="E136" s="17"/>
      <c r="F136" s="17"/>
      <c r="G136" s="17"/>
      <c r="H136" s="17"/>
      <c r="I136" s="17"/>
      <c r="J136" s="18" t="str">
        <f t="shared" si="4"/>
        <v/>
      </c>
      <c r="K136" s="11">
        <f t="shared" si="5"/>
        <v>0</v>
      </c>
      <c r="L136" s="8"/>
    </row>
    <row r="137" spans="1:12" x14ac:dyDescent="0.3">
      <c r="A137" s="9"/>
      <c r="B137" s="17"/>
      <c r="C137" s="17"/>
      <c r="D137" s="17"/>
      <c r="E137" s="17"/>
      <c r="F137" s="17"/>
      <c r="G137" s="17"/>
      <c r="H137" s="17"/>
      <c r="I137" s="17"/>
      <c r="J137" s="18" t="str">
        <f t="shared" si="4"/>
        <v/>
      </c>
      <c r="K137" s="11">
        <f t="shared" si="5"/>
        <v>0</v>
      </c>
      <c r="L137" s="8"/>
    </row>
    <row r="138" spans="1:12" x14ac:dyDescent="0.3">
      <c r="A138" s="9"/>
      <c r="B138" s="17"/>
      <c r="C138" s="17"/>
      <c r="D138" s="17"/>
      <c r="E138" s="17"/>
      <c r="F138" s="17"/>
      <c r="G138" s="17"/>
      <c r="H138" s="17"/>
      <c r="I138" s="17"/>
      <c r="J138" s="18" t="str">
        <f t="shared" si="4"/>
        <v/>
      </c>
      <c r="K138" s="11">
        <f t="shared" si="5"/>
        <v>0</v>
      </c>
      <c r="L138" s="8"/>
    </row>
    <row r="139" spans="1:12" x14ac:dyDescent="0.3">
      <c r="A139" s="9"/>
      <c r="B139" s="17"/>
      <c r="C139" s="17"/>
      <c r="D139" s="17"/>
      <c r="E139" s="17"/>
      <c r="F139" s="17"/>
      <c r="G139" s="17"/>
      <c r="H139" s="17"/>
      <c r="I139" s="17"/>
      <c r="J139" s="18" t="str">
        <f t="shared" si="4"/>
        <v/>
      </c>
      <c r="K139" s="11">
        <f t="shared" si="5"/>
        <v>0</v>
      </c>
      <c r="L139" s="8"/>
    </row>
    <row r="140" spans="1:12" x14ac:dyDescent="0.3">
      <c r="A140" s="9"/>
      <c r="B140" s="17"/>
      <c r="C140" s="17"/>
      <c r="D140" s="17"/>
      <c r="E140" s="17"/>
      <c r="F140" s="17"/>
      <c r="G140" s="17"/>
      <c r="H140" s="17"/>
      <c r="I140" s="17"/>
      <c r="J140" s="18" t="str">
        <f t="shared" si="4"/>
        <v/>
      </c>
      <c r="K140" s="11">
        <f t="shared" si="5"/>
        <v>0</v>
      </c>
      <c r="L140" s="8"/>
    </row>
    <row r="141" spans="1:12" x14ac:dyDescent="0.3">
      <c r="A141" s="9"/>
      <c r="B141" s="17"/>
      <c r="C141" s="17"/>
      <c r="D141" s="17"/>
      <c r="E141" s="17"/>
      <c r="F141" s="17"/>
      <c r="G141" s="17"/>
      <c r="H141" s="17"/>
      <c r="I141" s="17"/>
      <c r="J141" s="18" t="str">
        <f t="shared" si="4"/>
        <v/>
      </c>
      <c r="K141" s="11">
        <f t="shared" si="5"/>
        <v>0</v>
      </c>
      <c r="L141" s="8"/>
    </row>
    <row r="142" spans="1:12" x14ac:dyDescent="0.3">
      <c r="A142" s="9"/>
      <c r="B142" s="17"/>
      <c r="C142" s="17"/>
      <c r="D142" s="17"/>
      <c r="E142" s="17"/>
      <c r="F142" s="17"/>
      <c r="G142" s="17"/>
      <c r="H142" s="17"/>
      <c r="I142" s="17"/>
      <c r="J142" s="18" t="str">
        <f t="shared" si="4"/>
        <v/>
      </c>
      <c r="K142" s="11">
        <f t="shared" si="5"/>
        <v>0</v>
      </c>
      <c r="L142" s="8"/>
    </row>
    <row r="143" spans="1:12" x14ac:dyDescent="0.3">
      <c r="A143" s="9"/>
      <c r="B143" s="17"/>
      <c r="C143" s="17"/>
      <c r="D143" s="17"/>
      <c r="E143" s="17"/>
      <c r="F143" s="17"/>
      <c r="G143" s="17"/>
      <c r="H143" s="17"/>
      <c r="I143" s="17"/>
      <c r="J143" s="18" t="str">
        <f t="shared" si="4"/>
        <v/>
      </c>
      <c r="K143" s="11">
        <f t="shared" si="5"/>
        <v>0</v>
      </c>
      <c r="L143" s="8"/>
    </row>
    <row r="144" spans="1:12" x14ac:dyDescent="0.3">
      <c r="A144" s="9"/>
      <c r="B144" s="17"/>
      <c r="C144" s="17"/>
      <c r="D144" s="17"/>
      <c r="E144" s="17"/>
      <c r="F144" s="17"/>
      <c r="G144" s="17"/>
      <c r="H144" s="17"/>
      <c r="I144" s="17"/>
      <c r="J144" s="18" t="str">
        <f t="shared" si="4"/>
        <v/>
      </c>
      <c r="K144" s="11">
        <f t="shared" si="5"/>
        <v>0</v>
      </c>
      <c r="L144" s="8"/>
    </row>
    <row r="145" spans="1:12" x14ac:dyDescent="0.3">
      <c r="A145" s="9"/>
      <c r="B145" s="17"/>
      <c r="C145" s="17"/>
      <c r="D145" s="17"/>
      <c r="E145" s="17"/>
      <c r="F145" s="17"/>
      <c r="G145" s="17"/>
      <c r="H145" s="17"/>
      <c r="I145" s="17"/>
      <c r="J145" s="18" t="str">
        <f t="shared" si="4"/>
        <v/>
      </c>
      <c r="K145" s="11">
        <f t="shared" si="5"/>
        <v>0</v>
      </c>
      <c r="L145" s="8"/>
    </row>
    <row r="146" spans="1:12" x14ac:dyDescent="0.3">
      <c r="A146" s="9"/>
      <c r="B146" s="17"/>
      <c r="C146" s="17"/>
      <c r="D146" s="17"/>
      <c r="E146" s="17"/>
      <c r="F146" s="17"/>
      <c r="G146" s="17"/>
      <c r="H146" s="17"/>
      <c r="I146" s="17"/>
      <c r="J146" s="18" t="str">
        <f t="shared" si="4"/>
        <v/>
      </c>
      <c r="K146" s="11">
        <f t="shared" si="5"/>
        <v>0</v>
      </c>
      <c r="L146" s="8"/>
    </row>
    <row r="147" spans="1:12" x14ac:dyDescent="0.3">
      <c r="A147" s="9"/>
      <c r="B147" s="17"/>
      <c r="C147" s="17"/>
      <c r="D147" s="17"/>
      <c r="E147" s="17"/>
      <c r="F147" s="17"/>
      <c r="G147" s="17"/>
      <c r="H147" s="17"/>
      <c r="I147" s="17"/>
      <c r="J147" s="18" t="str">
        <f t="shared" si="4"/>
        <v/>
      </c>
      <c r="K147" s="11">
        <f t="shared" si="5"/>
        <v>0</v>
      </c>
      <c r="L147" s="8"/>
    </row>
    <row r="148" spans="1:12" x14ac:dyDescent="0.3">
      <c r="A148" s="9"/>
      <c r="B148" s="17"/>
      <c r="C148" s="17"/>
      <c r="D148" s="17"/>
      <c r="E148" s="17"/>
      <c r="F148" s="17"/>
      <c r="G148" s="17"/>
      <c r="H148" s="17"/>
      <c r="I148" s="17"/>
      <c r="J148" s="18" t="str">
        <f t="shared" si="4"/>
        <v/>
      </c>
      <c r="K148" s="11">
        <f t="shared" si="5"/>
        <v>0</v>
      </c>
      <c r="L148" s="8"/>
    </row>
    <row r="149" spans="1:12" x14ac:dyDescent="0.3">
      <c r="A149" s="9"/>
      <c r="B149" s="17"/>
      <c r="C149" s="17"/>
      <c r="D149" s="17"/>
      <c r="E149" s="17"/>
      <c r="F149" s="17"/>
      <c r="G149" s="17"/>
      <c r="H149" s="17"/>
      <c r="I149" s="17"/>
      <c r="J149" s="18" t="str">
        <f t="shared" si="4"/>
        <v/>
      </c>
      <c r="K149" s="11">
        <f t="shared" si="5"/>
        <v>0</v>
      </c>
      <c r="L149" s="8"/>
    </row>
    <row r="150" spans="1:12" x14ac:dyDescent="0.3">
      <c r="A150" s="9"/>
      <c r="B150" s="17"/>
      <c r="C150" s="17"/>
      <c r="D150" s="17"/>
      <c r="E150" s="17"/>
      <c r="F150" s="17"/>
      <c r="G150" s="17"/>
      <c r="H150" s="17"/>
      <c r="I150" s="17"/>
      <c r="J150" s="18" t="str">
        <f t="shared" si="4"/>
        <v/>
      </c>
      <c r="K150" s="11">
        <f t="shared" si="5"/>
        <v>0</v>
      </c>
      <c r="L150" s="8"/>
    </row>
    <row r="151" spans="1:12" x14ac:dyDescent="0.3">
      <c r="A151" s="9"/>
      <c r="B151" s="17"/>
      <c r="C151" s="17"/>
      <c r="D151" s="17"/>
      <c r="E151" s="17"/>
      <c r="F151" s="17"/>
      <c r="G151" s="17"/>
      <c r="H151" s="17"/>
      <c r="I151" s="17"/>
      <c r="J151" s="18" t="str">
        <f t="shared" si="4"/>
        <v/>
      </c>
      <c r="K151" s="11">
        <f t="shared" si="5"/>
        <v>0</v>
      </c>
      <c r="L151" s="8"/>
    </row>
    <row r="152" spans="1:12" x14ac:dyDescent="0.3">
      <c r="A152" s="9"/>
      <c r="B152" s="17"/>
      <c r="C152" s="17"/>
      <c r="D152" s="17"/>
      <c r="E152" s="17"/>
      <c r="F152" s="17"/>
      <c r="G152" s="17"/>
      <c r="H152" s="17"/>
      <c r="I152" s="17"/>
      <c r="J152" s="18" t="str">
        <f t="shared" si="4"/>
        <v/>
      </c>
      <c r="K152" s="11">
        <f t="shared" si="5"/>
        <v>0</v>
      </c>
      <c r="L152" s="8"/>
    </row>
    <row r="153" spans="1:12" x14ac:dyDescent="0.3">
      <c r="A153" s="9"/>
      <c r="B153" s="17"/>
      <c r="C153" s="17"/>
      <c r="D153" s="17"/>
      <c r="E153" s="17"/>
      <c r="F153" s="17"/>
      <c r="G153" s="17"/>
      <c r="H153" s="17"/>
      <c r="I153" s="17"/>
      <c r="J153" s="18" t="str">
        <f t="shared" si="4"/>
        <v/>
      </c>
      <c r="K153" s="11">
        <f t="shared" si="5"/>
        <v>0</v>
      </c>
      <c r="L153" s="8"/>
    </row>
    <row r="154" spans="1:12" x14ac:dyDescent="0.3">
      <c r="A154" s="9"/>
      <c r="B154" s="17"/>
      <c r="C154" s="17"/>
      <c r="D154" s="17"/>
      <c r="E154" s="17"/>
      <c r="F154" s="17"/>
      <c r="G154" s="17"/>
      <c r="H154" s="17"/>
      <c r="I154" s="17"/>
      <c r="J154" s="18" t="str">
        <f t="shared" si="4"/>
        <v/>
      </c>
      <c r="K154" s="11">
        <f t="shared" si="5"/>
        <v>0</v>
      </c>
      <c r="L154" s="8"/>
    </row>
    <row r="155" spans="1:12" x14ac:dyDescent="0.3">
      <c r="A155" s="9"/>
      <c r="B155" s="17"/>
      <c r="C155" s="17"/>
      <c r="D155" s="17"/>
      <c r="E155" s="17"/>
      <c r="F155" s="17"/>
      <c r="G155" s="17"/>
      <c r="H155" s="17"/>
      <c r="I155" s="17"/>
      <c r="J155" s="18" t="str">
        <f t="shared" si="4"/>
        <v/>
      </c>
      <c r="K155" s="11">
        <f t="shared" si="5"/>
        <v>0</v>
      </c>
      <c r="L155" s="8"/>
    </row>
    <row r="156" spans="1:12" x14ac:dyDescent="0.3">
      <c r="A156" s="9"/>
      <c r="B156" s="17"/>
      <c r="C156" s="17"/>
      <c r="D156" s="17"/>
      <c r="E156" s="17"/>
      <c r="F156" s="17"/>
      <c r="G156" s="17"/>
      <c r="H156" s="17"/>
      <c r="I156" s="17"/>
      <c r="J156" s="18" t="str">
        <f t="shared" si="4"/>
        <v/>
      </c>
      <c r="K156" s="11">
        <f t="shared" si="5"/>
        <v>0</v>
      </c>
      <c r="L156" s="8"/>
    </row>
    <row r="157" spans="1:12" x14ac:dyDescent="0.3">
      <c r="A157" s="9"/>
      <c r="B157" s="17"/>
      <c r="C157" s="17"/>
      <c r="D157" s="17"/>
      <c r="E157" s="17"/>
      <c r="F157" s="17"/>
      <c r="G157" s="17"/>
      <c r="H157" s="17"/>
      <c r="I157" s="17"/>
      <c r="J157" s="18" t="str">
        <f t="shared" si="4"/>
        <v/>
      </c>
      <c r="K157" s="11">
        <f t="shared" si="5"/>
        <v>0</v>
      </c>
      <c r="L157" s="8"/>
    </row>
    <row r="158" spans="1:12" x14ac:dyDescent="0.3">
      <c r="A158" s="9"/>
      <c r="B158" s="17"/>
      <c r="C158" s="17"/>
      <c r="D158" s="17"/>
      <c r="E158" s="17"/>
      <c r="F158" s="17"/>
      <c r="G158" s="17"/>
      <c r="H158" s="17"/>
      <c r="I158" s="17"/>
      <c r="J158" s="18" t="str">
        <f t="shared" si="4"/>
        <v/>
      </c>
      <c r="K158" s="11">
        <f t="shared" si="5"/>
        <v>0</v>
      </c>
      <c r="L158" s="8"/>
    </row>
    <row r="159" spans="1:12" x14ac:dyDescent="0.3">
      <c r="A159" s="9"/>
      <c r="B159" s="17"/>
      <c r="C159" s="17"/>
      <c r="D159" s="17"/>
      <c r="E159" s="17"/>
      <c r="F159" s="17"/>
      <c r="G159" s="17"/>
      <c r="H159" s="17"/>
      <c r="I159" s="17"/>
      <c r="J159" s="18" t="str">
        <f t="shared" si="4"/>
        <v/>
      </c>
      <c r="K159" s="11">
        <f t="shared" si="5"/>
        <v>0</v>
      </c>
      <c r="L159" s="8"/>
    </row>
    <row r="160" spans="1:12" x14ac:dyDescent="0.3">
      <c r="A160" s="9"/>
      <c r="B160" s="17"/>
      <c r="C160" s="17"/>
      <c r="D160" s="17"/>
      <c r="E160" s="17"/>
      <c r="F160" s="17"/>
      <c r="G160" s="17"/>
      <c r="H160" s="17"/>
      <c r="I160" s="17"/>
      <c r="J160" s="18" t="str">
        <f t="shared" si="4"/>
        <v/>
      </c>
      <c r="K160" s="11">
        <f t="shared" si="5"/>
        <v>0</v>
      </c>
      <c r="L160" s="8"/>
    </row>
    <row r="161" spans="1:12" x14ac:dyDescent="0.3">
      <c r="A161" s="9"/>
      <c r="B161" s="17"/>
      <c r="C161" s="17"/>
      <c r="D161" s="17"/>
      <c r="E161" s="17"/>
      <c r="F161" s="17"/>
      <c r="G161" s="17"/>
      <c r="H161" s="17"/>
      <c r="I161" s="17"/>
      <c r="J161" s="18" t="str">
        <f t="shared" si="4"/>
        <v/>
      </c>
      <c r="K161" s="11">
        <f t="shared" si="5"/>
        <v>0</v>
      </c>
      <c r="L161" s="8"/>
    </row>
    <row r="162" spans="1:12" x14ac:dyDescent="0.3">
      <c r="A162" s="9"/>
      <c r="B162" s="17"/>
      <c r="C162" s="17"/>
      <c r="D162" s="17"/>
      <c r="E162" s="17"/>
      <c r="F162" s="17"/>
      <c r="G162" s="17"/>
      <c r="H162" s="17"/>
      <c r="I162" s="17"/>
      <c r="J162" s="18" t="str">
        <f t="shared" si="4"/>
        <v/>
      </c>
      <c r="K162" s="11">
        <f t="shared" si="5"/>
        <v>0</v>
      </c>
      <c r="L162" s="8"/>
    </row>
    <row r="163" spans="1:12" x14ac:dyDescent="0.3">
      <c r="A163" s="9"/>
      <c r="B163" s="17"/>
      <c r="C163" s="17"/>
      <c r="D163" s="17"/>
      <c r="E163" s="17"/>
      <c r="F163" s="17"/>
      <c r="G163" s="17"/>
      <c r="H163" s="17"/>
      <c r="I163" s="17"/>
      <c r="J163" s="18" t="str">
        <f t="shared" si="4"/>
        <v/>
      </c>
      <c r="K163" s="11">
        <f t="shared" si="5"/>
        <v>0</v>
      </c>
      <c r="L163" s="8"/>
    </row>
    <row r="164" spans="1:12" x14ac:dyDescent="0.3">
      <c r="A164" s="9"/>
      <c r="B164" s="17"/>
      <c r="C164" s="17"/>
      <c r="D164" s="17"/>
      <c r="E164" s="17"/>
      <c r="F164" s="17"/>
      <c r="G164" s="17"/>
      <c r="H164" s="17"/>
      <c r="I164" s="17"/>
      <c r="J164" s="18" t="str">
        <f t="shared" si="4"/>
        <v/>
      </c>
      <c r="K164" s="11">
        <f t="shared" si="5"/>
        <v>0</v>
      </c>
      <c r="L164" s="8"/>
    </row>
    <row r="165" spans="1:12" x14ac:dyDescent="0.3">
      <c r="A165" s="9"/>
      <c r="B165" s="17"/>
      <c r="C165" s="17"/>
      <c r="D165" s="17"/>
      <c r="E165" s="17"/>
      <c r="F165" s="17"/>
      <c r="G165" s="17"/>
      <c r="H165" s="17"/>
      <c r="I165" s="17"/>
      <c r="J165" s="18" t="str">
        <f t="shared" si="4"/>
        <v/>
      </c>
      <c r="K165" s="11">
        <f t="shared" si="5"/>
        <v>0</v>
      </c>
      <c r="L165" s="8"/>
    </row>
    <row r="166" spans="1:12" x14ac:dyDescent="0.3">
      <c r="A166" s="9"/>
      <c r="B166" s="17"/>
      <c r="C166" s="17"/>
      <c r="D166" s="17"/>
      <c r="E166" s="17"/>
      <c r="F166" s="17"/>
      <c r="G166" s="17"/>
      <c r="H166" s="17"/>
      <c r="I166" s="17"/>
      <c r="J166" s="18" t="str">
        <f t="shared" si="4"/>
        <v/>
      </c>
      <c r="K166" s="11">
        <f t="shared" si="5"/>
        <v>0</v>
      </c>
      <c r="L166" s="8"/>
    </row>
    <row r="167" spans="1:12" x14ac:dyDescent="0.3">
      <c r="A167" s="9"/>
      <c r="B167" s="17"/>
      <c r="C167" s="17"/>
      <c r="D167" s="17"/>
      <c r="E167" s="17"/>
      <c r="F167" s="17"/>
      <c r="G167" s="17"/>
      <c r="H167" s="17"/>
      <c r="I167" s="17"/>
      <c r="J167" s="18" t="str">
        <f t="shared" si="4"/>
        <v/>
      </c>
      <c r="K167" s="11">
        <f t="shared" si="5"/>
        <v>0</v>
      </c>
      <c r="L167" s="8"/>
    </row>
    <row r="168" spans="1:12" x14ac:dyDescent="0.3">
      <c r="A168" s="9"/>
      <c r="B168" s="17"/>
      <c r="C168" s="17"/>
      <c r="D168" s="17"/>
      <c r="E168" s="17"/>
      <c r="F168" s="17"/>
      <c r="G168" s="17"/>
      <c r="H168" s="17"/>
      <c r="I168" s="17"/>
      <c r="J168" s="18" t="str">
        <f t="shared" si="4"/>
        <v/>
      </c>
      <c r="K168" s="11">
        <f t="shared" si="5"/>
        <v>0</v>
      </c>
      <c r="L168" s="8"/>
    </row>
    <row r="169" spans="1:12" x14ac:dyDescent="0.3">
      <c r="A169" s="9"/>
      <c r="B169" s="17"/>
      <c r="C169" s="17"/>
      <c r="D169" s="17"/>
      <c r="E169" s="17"/>
      <c r="F169" s="17"/>
      <c r="G169" s="17"/>
      <c r="H169" s="17"/>
      <c r="I169" s="17"/>
      <c r="J169" s="18" t="str">
        <f t="shared" si="4"/>
        <v/>
      </c>
      <c r="K169" s="11">
        <f t="shared" si="5"/>
        <v>0</v>
      </c>
      <c r="L169" s="8"/>
    </row>
    <row r="170" spans="1:12" x14ac:dyDescent="0.3">
      <c r="A170" s="9"/>
      <c r="B170" s="17"/>
      <c r="C170" s="17"/>
      <c r="D170" s="17"/>
      <c r="E170" s="17"/>
      <c r="F170" s="17"/>
      <c r="G170" s="17"/>
      <c r="H170" s="17"/>
      <c r="I170" s="17"/>
      <c r="J170" s="18" t="str">
        <f t="shared" si="4"/>
        <v/>
      </c>
      <c r="K170" s="11">
        <f t="shared" si="5"/>
        <v>0</v>
      </c>
      <c r="L170" s="8"/>
    </row>
    <row r="171" spans="1:12" x14ac:dyDescent="0.3">
      <c r="A171" s="9"/>
      <c r="B171" s="17"/>
      <c r="C171" s="17"/>
      <c r="D171" s="17"/>
      <c r="E171" s="17"/>
      <c r="F171" s="17"/>
      <c r="G171" s="17"/>
      <c r="H171" s="17"/>
      <c r="I171" s="17"/>
      <c r="J171" s="18" t="str">
        <f t="shared" si="4"/>
        <v/>
      </c>
      <c r="K171" s="11">
        <f t="shared" si="5"/>
        <v>0</v>
      </c>
      <c r="L171" s="8"/>
    </row>
    <row r="172" spans="1:12" x14ac:dyDescent="0.3">
      <c r="A172" s="9"/>
      <c r="B172" s="17"/>
      <c r="C172" s="17"/>
      <c r="D172" s="17"/>
      <c r="E172" s="17"/>
      <c r="F172" s="17"/>
      <c r="G172" s="17"/>
      <c r="H172" s="17"/>
      <c r="I172" s="17"/>
      <c r="J172" s="18" t="str">
        <f t="shared" si="4"/>
        <v/>
      </c>
      <c r="K172" s="11">
        <f t="shared" si="5"/>
        <v>0</v>
      </c>
      <c r="L172" s="8"/>
    </row>
    <row r="173" spans="1:12" x14ac:dyDescent="0.3">
      <c r="A173" s="9"/>
      <c r="B173" s="17"/>
      <c r="C173" s="17"/>
      <c r="D173" s="17"/>
      <c r="E173" s="17"/>
      <c r="F173" s="17"/>
      <c r="G173" s="17"/>
      <c r="H173" s="17"/>
      <c r="I173" s="17"/>
      <c r="J173" s="18" t="str">
        <f t="shared" si="4"/>
        <v/>
      </c>
      <c r="K173" s="11">
        <f t="shared" si="5"/>
        <v>0</v>
      </c>
      <c r="L173" s="8"/>
    </row>
    <row r="174" spans="1:12" x14ac:dyDescent="0.3">
      <c r="A174" s="9"/>
      <c r="B174" s="17"/>
      <c r="C174" s="17"/>
      <c r="D174" s="17"/>
      <c r="E174" s="17"/>
      <c r="F174" s="17"/>
      <c r="G174" s="17"/>
      <c r="H174" s="17"/>
      <c r="I174" s="17"/>
      <c r="J174" s="18" t="str">
        <f t="shared" si="4"/>
        <v/>
      </c>
      <c r="K174" s="11">
        <f t="shared" si="5"/>
        <v>0</v>
      </c>
      <c r="L174" s="8"/>
    </row>
    <row r="175" spans="1:12" x14ac:dyDescent="0.3">
      <c r="A175" s="9"/>
      <c r="B175" s="17"/>
      <c r="C175" s="17"/>
      <c r="D175" s="17"/>
      <c r="E175" s="17"/>
      <c r="F175" s="17"/>
      <c r="G175" s="17"/>
      <c r="H175" s="17"/>
      <c r="I175" s="17"/>
      <c r="J175" s="18" t="str">
        <f t="shared" si="4"/>
        <v/>
      </c>
      <c r="K175" s="11">
        <f t="shared" si="5"/>
        <v>0</v>
      </c>
      <c r="L175" s="8"/>
    </row>
    <row r="176" spans="1:12" x14ac:dyDescent="0.3">
      <c r="A176" s="9"/>
      <c r="B176" s="17"/>
      <c r="C176" s="17"/>
      <c r="D176" s="17"/>
      <c r="E176" s="17"/>
      <c r="F176" s="17"/>
      <c r="G176" s="17"/>
      <c r="H176" s="17"/>
      <c r="I176" s="17"/>
      <c r="J176" s="18" t="str">
        <f t="shared" si="4"/>
        <v/>
      </c>
      <c r="K176" s="11">
        <f t="shared" si="5"/>
        <v>0</v>
      </c>
      <c r="L176" s="8"/>
    </row>
    <row r="177" spans="1:12" x14ac:dyDescent="0.3">
      <c r="A177" s="9"/>
      <c r="B177" s="17"/>
      <c r="C177" s="17"/>
      <c r="D177" s="17"/>
      <c r="E177" s="17"/>
      <c r="F177" s="17"/>
      <c r="G177" s="17"/>
      <c r="H177" s="17"/>
      <c r="I177" s="17"/>
      <c r="J177" s="18" t="str">
        <f t="shared" si="4"/>
        <v/>
      </c>
      <c r="K177" s="11">
        <f t="shared" si="5"/>
        <v>0</v>
      </c>
      <c r="L177" s="8"/>
    </row>
    <row r="178" spans="1:12" x14ac:dyDescent="0.3">
      <c r="A178" s="9"/>
      <c r="B178" s="17"/>
      <c r="C178" s="17"/>
      <c r="D178" s="17"/>
      <c r="E178" s="17"/>
      <c r="F178" s="17"/>
      <c r="G178" s="17"/>
      <c r="H178" s="17"/>
      <c r="I178" s="17"/>
      <c r="J178" s="18" t="str">
        <f t="shared" si="4"/>
        <v/>
      </c>
      <c r="K178" s="11">
        <f t="shared" si="5"/>
        <v>0</v>
      </c>
      <c r="L178" s="8"/>
    </row>
    <row r="179" spans="1:12" x14ac:dyDescent="0.3">
      <c r="A179" s="9"/>
      <c r="B179" s="17"/>
      <c r="C179" s="17"/>
      <c r="D179" s="17"/>
      <c r="E179" s="17"/>
      <c r="F179" s="17"/>
      <c r="G179" s="17"/>
      <c r="H179" s="17"/>
      <c r="I179" s="17"/>
      <c r="J179" s="18" t="str">
        <f t="shared" si="4"/>
        <v/>
      </c>
      <c r="K179" s="11">
        <f t="shared" si="5"/>
        <v>0</v>
      </c>
      <c r="L179" s="8"/>
    </row>
    <row r="180" spans="1:12" x14ac:dyDescent="0.3">
      <c r="A180" s="9"/>
      <c r="B180" s="17"/>
      <c r="C180" s="17"/>
      <c r="D180" s="17"/>
      <c r="E180" s="17"/>
      <c r="F180" s="17"/>
      <c r="G180" s="17"/>
      <c r="H180" s="17"/>
      <c r="I180" s="17"/>
      <c r="J180" s="18" t="str">
        <f t="shared" si="4"/>
        <v/>
      </c>
      <c r="K180" s="11">
        <f t="shared" si="5"/>
        <v>0</v>
      </c>
      <c r="L180" s="8"/>
    </row>
    <row r="181" spans="1:12" x14ac:dyDescent="0.3">
      <c r="A181" s="9"/>
      <c r="B181" s="17"/>
      <c r="C181" s="17"/>
      <c r="D181" s="17"/>
      <c r="E181" s="17"/>
      <c r="F181" s="17"/>
      <c r="G181" s="17"/>
      <c r="H181" s="17"/>
      <c r="I181" s="17"/>
      <c r="J181" s="18" t="str">
        <f t="shared" si="4"/>
        <v/>
      </c>
      <c r="K181" s="11">
        <f t="shared" si="5"/>
        <v>0</v>
      </c>
      <c r="L181" s="8"/>
    </row>
    <row r="182" spans="1:12" x14ac:dyDescent="0.3">
      <c r="A182" s="9"/>
      <c r="B182" s="17"/>
      <c r="C182" s="17"/>
      <c r="D182" s="17"/>
      <c r="E182" s="17"/>
      <c r="F182" s="17"/>
      <c r="G182" s="17"/>
      <c r="H182" s="17"/>
      <c r="I182" s="17"/>
      <c r="J182" s="18" t="str">
        <f t="shared" si="4"/>
        <v/>
      </c>
      <c r="K182" s="11">
        <f t="shared" si="5"/>
        <v>0</v>
      </c>
      <c r="L182" s="8"/>
    </row>
    <row r="183" spans="1:12" x14ac:dyDescent="0.3">
      <c r="A183" s="9"/>
      <c r="B183" s="17"/>
      <c r="C183" s="17"/>
      <c r="D183" s="17"/>
      <c r="E183" s="17"/>
      <c r="F183" s="17"/>
      <c r="G183" s="17"/>
      <c r="H183" s="17"/>
      <c r="I183" s="17"/>
      <c r="J183" s="18" t="str">
        <f t="shared" si="4"/>
        <v/>
      </c>
      <c r="K183" s="11">
        <f t="shared" si="5"/>
        <v>0</v>
      </c>
      <c r="L183" s="8"/>
    </row>
    <row r="184" spans="1:12" x14ac:dyDescent="0.3">
      <c r="A184" s="9"/>
      <c r="B184" s="17"/>
      <c r="C184" s="17"/>
      <c r="D184" s="17"/>
      <c r="E184" s="17"/>
      <c r="F184" s="17"/>
      <c r="G184" s="17"/>
      <c r="H184" s="17"/>
      <c r="I184" s="17"/>
      <c r="J184" s="18" t="str">
        <f t="shared" si="4"/>
        <v/>
      </c>
      <c r="K184" s="11">
        <f t="shared" si="5"/>
        <v>0</v>
      </c>
      <c r="L184" s="8"/>
    </row>
    <row r="185" spans="1:12" x14ac:dyDescent="0.3">
      <c r="A185" s="9"/>
      <c r="B185" s="17"/>
      <c r="C185" s="17"/>
      <c r="D185" s="17"/>
      <c r="E185" s="17"/>
      <c r="F185" s="17"/>
      <c r="G185" s="17"/>
      <c r="H185" s="17"/>
      <c r="I185" s="17"/>
      <c r="J185" s="18" t="str">
        <f t="shared" si="4"/>
        <v/>
      </c>
      <c r="K185" s="11">
        <f t="shared" si="5"/>
        <v>0</v>
      </c>
      <c r="L185" s="8"/>
    </row>
    <row r="186" spans="1:12" x14ac:dyDescent="0.3">
      <c r="A186" s="9"/>
      <c r="B186" s="17"/>
      <c r="C186" s="17"/>
      <c r="D186" s="17"/>
      <c r="E186" s="17"/>
      <c r="F186" s="17"/>
      <c r="G186" s="17"/>
      <c r="H186" s="17"/>
      <c r="I186" s="17"/>
      <c r="J186" s="18" t="str">
        <f t="shared" si="4"/>
        <v/>
      </c>
      <c r="K186" s="11">
        <f t="shared" si="5"/>
        <v>0</v>
      </c>
      <c r="L186" s="8"/>
    </row>
    <row r="187" spans="1:12" x14ac:dyDescent="0.3">
      <c r="A187" s="9"/>
      <c r="B187" s="17"/>
      <c r="C187" s="17"/>
      <c r="D187" s="17"/>
      <c r="E187" s="17"/>
      <c r="F187" s="17"/>
      <c r="G187" s="17"/>
      <c r="H187" s="17"/>
      <c r="I187" s="17"/>
      <c r="J187" s="18" t="str">
        <f t="shared" si="4"/>
        <v/>
      </c>
      <c r="K187" s="11">
        <f t="shared" si="5"/>
        <v>0</v>
      </c>
      <c r="L187" s="8"/>
    </row>
    <row r="188" spans="1:12" x14ac:dyDescent="0.3">
      <c r="A188" s="9"/>
      <c r="B188" s="17"/>
      <c r="C188" s="17"/>
      <c r="D188" s="17"/>
      <c r="E188" s="17"/>
      <c r="F188" s="17"/>
      <c r="G188" s="17"/>
      <c r="H188" s="17"/>
      <c r="I188" s="17"/>
      <c r="J188" s="18" t="str">
        <f t="shared" si="4"/>
        <v/>
      </c>
      <c r="K188" s="11">
        <f t="shared" si="5"/>
        <v>0</v>
      </c>
      <c r="L188" s="8"/>
    </row>
    <row r="189" spans="1:12" x14ac:dyDescent="0.3">
      <c r="A189" s="9"/>
      <c r="B189" s="17"/>
      <c r="C189" s="17"/>
      <c r="D189" s="17"/>
      <c r="E189" s="17"/>
      <c r="F189" s="17"/>
      <c r="G189" s="17"/>
      <c r="H189" s="17"/>
      <c r="I189" s="17"/>
      <c r="J189" s="18" t="str">
        <f t="shared" si="4"/>
        <v/>
      </c>
      <c r="K189" s="11">
        <f t="shared" si="5"/>
        <v>0</v>
      </c>
      <c r="L189" s="8"/>
    </row>
    <row r="190" spans="1:12" x14ac:dyDescent="0.3">
      <c r="A190" s="9"/>
      <c r="B190" s="17"/>
      <c r="C190" s="17"/>
      <c r="D190" s="17"/>
      <c r="E190" s="17"/>
      <c r="F190" s="17"/>
      <c r="G190" s="17"/>
      <c r="H190" s="17"/>
      <c r="I190" s="17"/>
      <c r="J190" s="18" t="str">
        <f t="shared" si="4"/>
        <v/>
      </c>
      <c r="K190" s="11">
        <f t="shared" si="5"/>
        <v>0</v>
      </c>
      <c r="L190" s="8"/>
    </row>
    <row r="191" spans="1:12" x14ac:dyDescent="0.3">
      <c r="A191" s="9"/>
      <c r="B191" s="17"/>
      <c r="C191" s="17"/>
      <c r="D191" s="17"/>
      <c r="E191" s="17"/>
      <c r="F191" s="17"/>
      <c r="G191" s="17"/>
      <c r="H191" s="17"/>
      <c r="I191" s="17"/>
      <c r="J191" s="18" t="str">
        <f t="shared" si="4"/>
        <v/>
      </c>
      <c r="K191" s="11">
        <f t="shared" si="5"/>
        <v>0</v>
      </c>
      <c r="L191" s="8"/>
    </row>
    <row r="192" spans="1:12" x14ac:dyDescent="0.3">
      <c r="A192" s="9"/>
      <c r="B192" s="17"/>
      <c r="C192" s="17"/>
      <c r="D192" s="17"/>
      <c r="E192" s="17"/>
      <c r="F192" s="17"/>
      <c r="G192" s="17"/>
      <c r="H192" s="17"/>
      <c r="I192" s="17"/>
      <c r="J192" s="18" t="str">
        <f t="shared" si="4"/>
        <v/>
      </c>
      <c r="K192" s="11">
        <f t="shared" si="5"/>
        <v>0</v>
      </c>
      <c r="L192" s="8"/>
    </row>
    <row r="193" spans="1:12" x14ac:dyDescent="0.3">
      <c r="A193" s="9"/>
      <c r="B193" s="17"/>
      <c r="C193" s="17"/>
      <c r="D193" s="17"/>
      <c r="E193" s="17"/>
      <c r="F193" s="17"/>
      <c r="G193" s="17"/>
      <c r="H193" s="17"/>
      <c r="I193" s="17"/>
      <c r="J193" s="18" t="str">
        <f t="shared" si="4"/>
        <v/>
      </c>
      <c r="K193" s="11">
        <f t="shared" si="5"/>
        <v>0</v>
      </c>
      <c r="L193" s="8"/>
    </row>
    <row r="194" spans="1:12" x14ac:dyDescent="0.3">
      <c r="A194" s="9"/>
      <c r="B194" s="17"/>
      <c r="C194" s="17"/>
      <c r="D194" s="17"/>
      <c r="E194" s="17"/>
      <c r="F194" s="17"/>
      <c r="G194" s="17"/>
      <c r="H194" s="17"/>
      <c r="I194" s="17"/>
      <c r="J194" s="18" t="str">
        <f t="shared" si="4"/>
        <v/>
      </c>
      <c r="K194" s="11">
        <f t="shared" si="5"/>
        <v>0</v>
      </c>
      <c r="L194" s="8"/>
    </row>
    <row r="195" spans="1:12" x14ac:dyDescent="0.3">
      <c r="A195" s="9"/>
      <c r="B195" s="17"/>
      <c r="C195" s="17"/>
      <c r="D195" s="17"/>
      <c r="E195" s="17"/>
      <c r="F195" s="17"/>
      <c r="G195" s="17"/>
      <c r="H195" s="17"/>
      <c r="I195" s="17"/>
      <c r="J195" s="18" t="str">
        <f t="shared" si="4"/>
        <v/>
      </c>
      <c r="K195" s="11">
        <f t="shared" si="5"/>
        <v>0</v>
      </c>
      <c r="L195" s="8"/>
    </row>
    <row r="196" spans="1:12" x14ac:dyDescent="0.3">
      <c r="A196" s="9"/>
      <c r="B196" s="17"/>
      <c r="C196" s="17"/>
      <c r="D196" s="17"/>
      <c r="E196" s="17"/>
      <c r="F196" s="17"/>
      <c r="G196" s="17"/>
      <c r="H196" s="17"/>
      <c r="I196" s="17"/>
      <c r="J196" s="18" t="str">
        <f t="shared" si="4"/>
        <v/>
      </c>
      <c r="K196" s="11">
        <f t="shared" si="5"/>
        <v>0</v>
      </c>
      <c r="L196" s="8"/>
    </row>
    <row r="197" spans="1:12" x14ac:dyDescent="0.3">
      <c r="A197" s="9"/>
      <c r="B197" s="17"/>
      <c r="C197" s="17"/>
      <c r="D197" s="17"/>
      <c r="E197" s="17"/>
      <c r="F197" s="17"/>
      <c r="G197" s="17"/>
      <c r="H197" s="17"/>
      <c r="I197" s="17"/>
      <c r="J197" s="18" t="str">
        <f t="shared" ref="J197:J260" si="6">IF(OR(I197="",B197=""),"",I197-B197)</f>
        <v/>
      </c>
      <c r="K197" s="11">
        <f t="shared" ref="K197:K260" si="7">IFERROR(J197/B197,0)</f>
        <v>0</v>
      </c>
      <c r="L197" s="8"/>
    </row>
    <row r="198" spans="1:12" x14ac:dyDescent="0.3">
      <c r="A198" s="9"/>
      <c r="B198" s="17"/>
      <c r="C198" s="17"/>
      <c r="D198" s="17"/>
      <c r="E198" s="17"/>
      <c r="F198" s="17"/>
      <c r="G198" s="17"/>
      <c r="H198" s="17"/>
      <c r="I198" s="17"/>
      <c r="J198" s="18" t="str">
        <f t="shared" si="6"/>
        <v/>
      </c>
      <c r="K198" s="11">
        <f t="shared" si="7"/>
        <v>0</v>
      </c>
      <c r="L198" s="8"/>
    </row>
    <row r="199" spans="1:12" x14ac:dyDescent="0.3">
      <c r="A199" s="9"/>
      <c r="B199" s="17"/>
      <c r="C199" s="17"/>
      <c r="D199" s="17"/>
      <c r="E199" s="17"/>
      <c r="F199" s="17"/>
      <c r="G199" s="17"/>
      <c r="H199" s="17"/>
      <c r="I199" s="17"/>
      <c r="J199" s="18" t="str">
        <f t="shared" si="6"/>
        <v/>
      </c>
      <c r="K199" s="11">
        <f t="shared" si="7"/>
        <v>0</v>
      </c>
      <c r="L199" s="8"/>
    </row>
    <row r="200" spans="1:12" x14ac:dyDescent="0.3">
      <c r="A200" s="9"/>
      <c r="B200" s="17"/>
      <c r="C200" s="17"/>
      <c r="D200" s="17"/>
      <c r="E200" s="17"/>
      <c r="F200" s="17"/>
      <c r="G200" s="17"/>
      <c r="H200" s="17"/>
      <c r="I200" s="17"/>
      <c r="J200" s="18" t="str">
        <f t="shared" si="6"/>
        <v/>
      </c>
      <c r="K200" s="11">
        <f t="shared" si="7"/>
        <v>0</v>
      </c>
      <c r="L200" s="8"/>
    </row>
    <row r="201" spans="1:12" x14ac:dyDescent="0.3">
      <c r="A201" s="9"/>
      <c r="B201" s="17"/>
      <c r="C201" s="17"/>
      <c r="D201" s="17"/>
      <c r="E201" s="17"/>
      <c r="F201" s="17"/>
      <c r="G201" s="17"/>
      <c r="H201" s="17"/>
      <c r="I201" s="17"/>
      <c r="J201" s="18" t="str">
        <f t="shared" si="6"/>
        <v/>
      </c>
      <c r="K201" s="11">
        <f t="shared" si="7"/>
        <v>0</v>
      </c>
      <c r="L201" s="8"/>
    </row>
    <row r="202" spans="1:12" x14ac:dyDescent="0.3">
      <c r="A202" s="9"/>
      <c r="B202" s="17"/>
      <c r="C202" s="17"/>
      <c r="D202" s="17"/>
      <c r="E202" s="17"/>
      <c r="F202" s="17"/>
      <c r="G202" s="17"/>
      <c r="H202" s="17"/>
      <c r="I202" s="17"/>
      <c r="J202" s="18" t="str">
        <f t="shared" si="6"/>
        <v/>
      </c>
      <c r="K202" s="11">
        <f t="shared" si="7"/>
        <v>0</v>
      </c>
      <c r="L202" s="8"/>
    </row>
    <row r="203" spans="1:12" x14ac:dyDescent="0.3">
      <c r="A203" s="9"/>
      <c r="B203" s="17"/>
      <c r="C203" s="17"/>
      <c r="D203" s="17"/>
      <c r="E203" s="17"/>
      <c r="F203" s="17"/>
      <c r="G203" s="17"/>
      <c r="H203" s="17"/>
      <c r="I203" s="17"/>
      <c r="J203" s="18" t="str">
        <f t="shared" si="6"/>
        <v/>
      </c>
      <c r="K203" s="11">
        <f t="shared" si="7"/>
        <v>0</v>
      </c>
      <c r="L203" s="8"/>
    </row>
    <row r="204" spans="1:12" x14ac:dyDescent="0.3">
      <c r="A204" s="9"/>
      <c r="B204" s="17"/>
      <c r="C204" s="17"/>
      <c r="D204" s="17"/>
      <c r="E204" s="17"/>
      <c r="F204" s="17"/>
      <c r="G204" s="17"/>
      <c r="H204" s="17"/>
      <c r="I204" s="17"/>
      <c r="J204" s="18" t="str">
        <f t="shared" si="6"/>
        <v/>
      </c>
      <c r="K204" s="11">
        <f t="shared" si="7"/>
        <v>0</v>
      </c>
      <c r="L204" s="8"/>
    </row>
    <row r="205" spans="1:12" x14ac:dyDescent="0.3">
      <c r="A205" s="9"/>
      <c r="B205" s="17"/>
      <c r="C205" s="17"/>
      <c r="D205" s="17"/>
      <c r="E205" s="17"/>
      <c r="F205" s="17"/>
      <c r="G205" s="17"/>
      <c r="H205" s="17"/>
      <c r="I205" s="17"/>
      <c r="J205" s="18" t="str">
        <f t="shared" si="6"/>
        <v/>
      </c>
      <c r="K205" s="11">
        <f t="shared" si="7"/>
        <v>0</v>
      </c>
      <c r="L205" s="8"/>
    </row>
    <row r="206" spans="1:12" x14ac:dyDescent="0.3">
      <c r="A206" s="9"/>
      <c r="B206" s="17"/>
      <c r="C206" s="17"/>
      <c r="D206" s="17"/>
      <c r="E206" s="17"/>
      <c r="F206" s="17"/>
      <c r="G206" s="17"/>
      <c r="H206" s="17"/>
      <c r="I206" s="17"/>
      <c r="J206" s="18" t="str">
        <f t="shared" si="6"/>
        <v/>
      </c>
      <c r="K206" s="11">
        <f t="shared" si="7"/>
        <v>0</v>
      </c>
      <c r="L206" s="8"/>
    </row>
    <row r="207" spans="1:12" x14ac:dyDescent="0.3">
      <c r="A207" s="9"/>
      <c r="B207" s="17"/>
      <c r="C207" s="17"/>
      <c r="D207" s="17"/>
      <c r="E207" s="17"/>
      <c r="F207" s="17"/>
      <c r="G207" s="17"/>
      <c r="H207" s="17"/>
      <c r="I207" s="17"/>
      <c r="J207" s="18" t="str">
        <f t="shared" si="6"/>
        <v/>
      </c>
      <c r="K207" s="11">
        <f t="shared" si="7"/>
        <v>0</v>
      </c>
      <c r="L207" s="8"/>
    </row>
    <row r="208" spans="1:12" x14ac:dyDescent="0.3">
      <c r="A208" s="9"/>
      <c r="B208" s="17"/>
      <c r="C208" s="17"/>
      <c r="D208" s="17"/>
      <c r="E208" s="17"/>
      <c r="F208" s="17"/>
      <c r="G208" s="17"/>
      <c r="H208" s="17"/>
      <c r="I208" s="17"/>
      <c r="J208" s="18" t="str">
        <f t="shared" si="6"/>
        <v/>
      </c>
      <c r="K208" s="11">
        <f t="shared" si="7"/>
        <v>0</v>
      </c>
      <c r="L208" s="8"/>
    </row>
    <row r="209" spans="1:12" x14ac:dyDescent="0.3">
      <c r="A209" s="9"/>
      <c r="B209" s="17"/>
      <c r="C209" s="17"/>
      <c r="D209" s="17"/>
      <c r="E209" s="17"/>
      <c r="F209" s="17"/>
      <c r="G209" s="17"/>
      <c r="H209" s="17"/>
      <c r="I209" s="17"/>
      <c r="J209" s="18" t="str">
        <f t="shared" si="6"/>
        <v/>
      </c>
      <c r="K209" s="11">
        <f t="shared" si="7"/>
        <v>0</v>
      </c>
      <c r="L209" s="8"/>
    </row>
    <row r="210" spans="1:12" x14ac:dyDescent="0.3">
      <c r="A210" s="9"/>
      <c r="B210" s="17"/>
      <c r="C210" s="17"/>
      <c r="D210" s="17"/>
      <c r="E210" s="17"/>
      <c r="F210" s="17"/>
      <c r="G210" s="17"/>
      <c r="H210" s="17"/>
      <c r="I210" s="17"/>
      <c r="J210" s="18" t="str">
        <f t="shared" si="6"/>
        <v/>
      </c>
      <c r="K210" s="11">
        <f t="shared" si="7"/>
        <v>0</v>
      </c>
      <c r="L210" s="8"/>
    </row>
    <row r="211" spans="1:12" x14ac:dyDescent="0.3">
      <c r="A211" s="9"/>
      <c r="B211" s="17"/>
      <c r="C211" s="17"/>
      <c r="D211" s="17"/>
      <c r="E211" s="17"/>
      <c r="F211" s="17"/>
      <c r="G211" s="17"/>
      <c r="H211" s="17"/>
      <c r="I211" s="17"/>
      <c r="J211" s="18" t="str">
        <f t="shared" si="6"/>
        <v/>
      </c>
      <c r="K211" s="11">
        <f t="shared" si="7"/>
        <v>0</v>
      </c>
      <c r="L211" s="8"/>
    </row>
    <row r="212" spans="1:12" x14ac:dyDescent="0.3">
      <c r="A212" s="9"/>
      <c r="B212" s="17"/>
      <c r="C212" s="17"/>
      <c r="D212" s="17"/>
      <c r="E212" s="17"/>
      <c r="F212" s="17"/>
      <c r="G212" s="17"/>
      <c r="H212" s="17"/>
      <c r="I212" s="17"/>
      <c r="J212" s="18" t="str">
        <f t="shared" si="6"/>
        <v/>
      </c>
      <c r="K212" s="11">
        <f t="shared" si="7"/>
        <v>0</v>
      </c>
      <c r="L212" s="8"/>
    </row>
    <row r="213" spans="1:12" x14ac:dyDescent="0.3">
      <c r="A213" s="9"/>
      <c r="B213" s="17"/>
      <c r="C213" s="17"/>
      <c r="D213" s="17"/>
      <c r="E213" s="17"/>
      <c r="F213" s="17"/>
      <c r="G213" s="17"/>
      <c r="H213" s="17"/>
      <c r="I213" s="17"/>
      <c r="J213" s="18" t="str">
        <f t="shared" si="6"/>
        <v/>
      </c>
      <c r="K213" s="11">
        <f t="shared" si="7"/>
        <v>0</v>
      </c>
      <c r="L213" s="8"/>
    </row>
    <row r="214" spans="1:12" x14ac:dyDescent="0.3">
      <c r="A214" s="9"/>
      <c r="B214" s="17"/>
      <c r="C214" s="17"/>
      <c r="D214" s="17"/>
      <c r="E214" s="17"/>
      <c r="F214" s="17"/>
      <c r="G214" s="17"/>
      <c r="H214" s="17"/>
      <c r="I214" s="17"/>
      <c r="J214" s="18" t="str">
        <f t="shared" si="6"/>
        <v/>
      </c>
      <c r="K214" s="11">
        <f t="shared" si="7"/>
        <v>0</v>
      </c>
      <c r="L214" s="8"/>
    </row>
    <row r="215" spans="1:12" x14ac:dyDescent="0.3">
      <c r="A215" s="9"/>
      <c r="B215" s="17"/>
      <c r="C215" s="17"/>
      <c r="D215" s="17"/>
      <c r="E215" s="17"/>
      <c r="F215" s="17"/>
      <c r="G215" s="17"/>
      <c r="H215" s="17"/>
      <c r="I215" s="17"/>
      <c r="J215" s="18" t="str">
        <f t="shared" si="6"/>
        <v/>
      </c>
      <c r="K215" s="11">
        <f t="shared" si="7"/>
        <v>0</v>
      </c>
      <c r="L215" s="8"/>
    </row>
    <row r="216" spans="1:12" x14ac:dyDescent="0.3">
      <c r="A216" s="9"/>
      <c r="B216" s="17"/>
      <c r="C216" s="17"/>
      <c r="D216" s="17"/>
      <c r="E216" s="17"/>
      <c r="F216" s="17"/>
      <c r="G216" s="17"/>
      <c r="H216" s="17"/>
      <c r="I216" s="17"/>
      <c r="J216" s="18" t="str">
        <f t="shared" si="6"/>
        <v/>
      </c>
      <c r="K216" s="11">
        <f t="shared" si="7"/>
        <v>0</v>
      </c>
      <c r="L216" s="8"/>
    </row>
    <row r="217" spans="1:12" x14ac:dyDescent="0.3">
      <c r="A217" s="9"/>
      <c r="B217" s="17"/>
      <c r="C217" s="17"/>
      <c r="D217" s="17"/>
      <c r="E217" s="17"/>
      <c r="F217" s="17"/>
      <c r="G217" s="17"/>
      <c r="H217" s="17"/>
      <c r="I217" s="17"/>
      <c r="J217" s="18" t="str">
        <f t="shared" si="6"/>
        <v/>
      </c>
      <c r="K217" s="11">
        <f t="shared" si="7"/>
        <v>0</v>
      </c>
      <c r="L217" s="8"/>
    </row>
    <row r="218" spans="1:12" x14ac:dyDescent="0.3">
      <c r="A218" s="9"/>
      <c r="B218" s="17"/>
      <c r="C218" s="17"/>
      <c r="D218" s="17"/>
      <c r="E218" s="17"/>
      <c r="F218" s="17"/>
      <c r="G218" s="17"/>
      <c r="H218" s="17"/>
      <c r="I218" s="17"/>
      <c r="J218" s="18" t="str">
        <f t="shared" si="6"/>
        <v/>
      </c>
      <c r="K218" s="11">
        <f t="shared" si="7"/>
        <v>0</v>
      </c>
      <c r="L218" s="8"/>
    </row>
    <row r="219" spans="1:12" x14ac:dyDescent="0.3">
      <c r="A219" s="9"/>
      <c r="B219" s="17"/>
      <c r="C219" s="17"/>
      <c r="D219" s="17"/>
      <c r="E219" s="17"/>
      <c r="F219" s="17"/>
      <c r="G219" s="17"/>
      <c r="H219" s="17"/>
      <c r="I219" s="17"/>
      <c r="J219" s="18" t="str">
        <f t="shared" si="6"/>
        <v/>
      </c>
      <c r="K219" s="11">
        <f t="shared" si="7"/>
        <v>0</v>
      </c>
      <c r="L219" s="8"/>
    </row>
    <row r="220" spans="1:12" x14ac:dyDescent="0.3">
      <c r="A220" s="9"/>
      <c r="B220" s="17"/>
      <c r="C220" s="17"/>
      <c r="D220" s="17"/>
      <c r="E220" s="17"/>
      <c r="F220" s="17"/>
      <c r="G220" s="17"/>
      <c r="H220" s="17"/>
      <c r="I220" s="17"/>
      <c r="J220" s="18" t="str">
        <f t="shared" si="6"/>
        <v/>
      </c>
      <c r="K220" s="11">
        <f t="shared" si="7"/>
        <v>0</v>
      </c>
      <c r="L220" s="8"/>
    </row>
    <row r="221" spans="1:12" x14ac:dyDescent="0.3">
      <c r="A221" s="9"/>
      <c r="B221" s="17"/>
      <c r="C221" s="17"/>
      <c r="D221" s="17"/>
      <c r="E221" s="17"/>
      <c r="F221" s="17"/>
      <c r="G221" s="17"/>
      <c r="H221" s="17"/>
      <c r="I221" s="17"/>
      <c r="J221" s="18" t="str">
        <f t="shared" si="6"/>
        <v/>
      </c>
      <c r="K221" s="11">
        <f t="shared" si="7"/>
        <v>0</v>
      </c>
      <c r="L221" s="8"/>
    </row>
    <row r="222" spans="1:12" x14ac:dyDescent="0.3">
      <c r="A222" s="9"/>
      <c r="B222" s="17"/>
      <c r="C222" s="17"/>
      <c r="D222" s="17"/>
      <c r="E222" s="17"/>
      <c r="F222" s="17"/>
      <c r="G222" s="17"/>
      <c r="H222" s="17"/>
      <c r="I222" s="17"/>
      <c r="J222" s="18" t="str">
        <f t="shared" si="6"/>
        <v/>
      </c>
      <c r="K222" s="11">
        <f t="shared" si="7"/>
        <v>0</v>
      </c>
      <c r="L222" s="8"/>
    </row>
    <row r="223" spans="1:12" x14ac:dyDescent="0.3">
      <c r="A223" s="9"/>
      <c r="B223" s="17"/>
      <c r="C223" s="17"/>
      <c r="D223" s="17"/>
      <c r="E223" s="17"/>
      <c r="F223" s="17"/>
      <c r="G223" s="17"/>
      <c r="H223" s="17"/>
      <c r="I223" s="17"/>
      <c r="J223" s="18" t="str">
        <f t="shared" si="6"/>
        <v/>
      </c>
      <c r="K223" s="11">
        <f t="shared" si="7"/>
        <v>0</v>
      </c>
      <c r="L223" s="8"/>
    </row>
    <row r="224" spans="1:12" x14ac:dyDescent="0.3">
      <c r="A224" s="9"/>
      <c r="B224" s="17"/>
      <c r="C224" s="17"/>
      <c r="D224" s="17"/>
      <c r="E224" s="17"/>
      <c r="F224" s="17"/>
      <c r="G224" s="17"/>
      <c r="H224" s="17"/>
      <c r="I224" s="17"/>
      <c r="J224" s="18" t="str">
        <f t="shared" si="6"/>
        <v/>
      </c>
      <c r="K224" s="11">
        <f t="shared" si="7"/>
        <v>0</v>
      </c>
      <c r="L224" s="8"/>
    </row>
    <row r="225" spans="1:12" x14ac:dyDescent="0.3">
      <c r="A225" s="9"/>
      <c r="B225" s="17"/>
      <c r="C225" s="17"/>
      <c r="D225" s="17"/>
      <c r="E225" s="17"/>
      <c r="F225" s="17"/>
      <c r="G225" s="17"/>
      <c r="H225" s="17"/>
      <c r="I225" s="17"/>
      <c r="J225" s="18" t="str">
        <f t="shared" si="6"/>
        <v/>
      </c>
      <c r="K225" s="11">
        <f t="shared" si="7"/>
        <v>0</v>
      </c>
      <c r="L225" s="8"/>
    </row>
    <row r="226" spans="1:12" x14ac:dyDescent="0.3">
      <c r="A226" s="9"/>
      <c r="B226" s="17"/>
      <c r="C226" s="17"/>
      <c r="D226" s="17"/>
      <c r="E226" s="17"/>
      <c r="F226" s="17"/>
      <c r="G226" s="17"/>
      <c r="H226" s="17"/>
      <c r="I226" s="17"/>
      <c r="J226" s="18" t="str">
        <f t="shared" si="6"/>
        <v/>
      </c>
      <c r="K226" s="11">
        <f t="shared" si="7"/>
        <v>0</v>
      </c>
      <c r="L226" s="8"/>
    </row>
    <row r="227" spans="1:12" x14ac:dyDescent="0.3">
      <c r="A227" s="9"/>
      <c r="B227" s="17"/>
      <c r="C227" s="17"/>
      <c r="D227" s="17"/>
      <c r="E227" s="17"/>
      <c r="F227" s="17"/>
      <c r="G227" s="17"/>
      <c r="H227" s="17"/>
      <c r="I227" s="17"/>
      <c r="J227" s="18" t="str">
        <f t="shared" si="6"/>
        <v/>
      </c>
      <c r="K227" s="11">
        <f t="shared" si="7"/>
        <v>0</v>
      </c>
      <c r="L227" s="8"/>
    </row>
    <row r="228" spans="1:12" x14ac:dyDescent="0.3">
      <c r="A228" s="9"/>
      <c r="B228" s="17"/>
      <c r="C228" s="17"/>
      <c r="D228" s="17"/>
      <c r="E228" s="17"/>
      <c r="F228" s="17"/>
      <c r="G228" s="17"/>
      <c r="H228" s="17"/>
      <c r="I228" s="17"/>
      <c r="J228" s="18" t="str">
        <f t="shared" si="6"/>
        <v/>
      </c>
      <c r="K228" s="11">
        <f t="shared" si="7"/>
        <v>0</v>
      </c>
      <c r="L228" s="8"/>
    </row>
    <row r="229" spans="1:12" x14ac:dyDescent="0.3">
      <c r="A229" s="9"/>
      <c r="B229" s="17"/>
      <c r="C229" s="17"/>
      <c r="D229" s="17"/>
      <c r="E229" s="17"/>
      <c r="F229" s="17"/>
      <c r="G229" s="17"/>
      <c r="H229" s="17"/>
      <c r="I229" s="17"/>
      <c r="J229" s="18" t="str">
        <f t="shared" si="6"/>
        <v/>
      </c>
      <c r="K229" s="11">
        <f t="shared" si="7"/>
        <v>0</v>
      </c>
      <c r="L229" s="8"/>
    </row>
    <row r="230" spans="1:12" x14ac:dyDescent="0.3">
      <c r="A230" s="9"/>
      <c r="B230" s="17"/>
      <c r="C230" s="17"/>
      <c r="D230" s="17"/>
      <c r="E230" s="17"/>
      <c r="F230" s="17"/>
      <c r="G230" s="17"/>
      <c r="H230" s="17"/>
      <c r="I230" s="17"/>
      <c r="J230" s="18" t="str">
        <f t="shared" si="6"/>
        <v/>
      </c>
      <c r="K230" s="11">
        <f t="shared" si="7"/>
        <v>0</v>
      </c>
      <c r="L230" s="8"/>
    </row>
    <row r="231" spans="1:12" x14ac:dyDescent="0.3">
      <c r="A231" s="9"/>
      <c r="B231" s="17"/>
      <c r="C231" s="17"/>
      <c r="D231" s="17"/>
      <c r="E231" s="17"/>
      <c r="F231" s="17"/>
      <c r="G231" s="17"/>
      <c r="H231" s="17"/>
      <c r="I231" s="17"/>
      <c r="J231" s="18" t="str">
        <f t="shared" si="6"/>
        <v/>
      </c>
      <c r="K231" s="11">
        <f t="shared" si="7"/>
        <v>0</v>
      </c>
      <c r="L231" s="8"/>
    </row>
    <row r="232" spans="1:12" x14ac:dyDescent="0.3">
      <c r="A232" s="9"/>
      <c r="B232" s="17"/>
      <c r="C232" s="17"/>
      <c r="D232" s="17"/>
      <c r="E232" s="17"/>
      <c r="F232" s="17"/>
      <c r="G232" s="17"/>
      <c r="H232" s="17"/>
      <c r="I232" s="17"/>
      <c r="J232" s="18" t="str">
        <f t="shared" si="6"/>
        <v/>
      </c>
      <c r="K232" s="11">
        <f t="shared" si="7"/>
        <v>0</v>
      </c>
      <c r="L232" s="8"/>
    </row>
    <row r="233" spans="1:12" x14ac:dyDescent="0.3">
      <c r="A233" s="9"/>
      <c r="B233" s="17"/>
      <c r="C233" s="17"/>
      <c r="D233" s="17"/>
      <c r="E233" s="17"/>
      <c r="F233" s="17"/>
      <c r="G233" s="17"/>
      <c r="H233" s="17"/>
      <c r="I233" s="17"/>
      <c r="J233" s="18" t="str">
        <f t="shared" si="6"/>
        <v/>
      </c>
      <c r="K233" s="11">
        <f t="shared" si="7"/>
        <v>0</v>
      </c>
      <c r="L233" s="8"/>
    </row>
    <row r="234" spans="1:12" x14ac:dyDescent="0.3">
      <c r="A234" s="9"/>
      <c r="B234" s="17"/>
      <c r="C234" s="17"/>
      <c r="D234" s="17"/>
      <c r="E234" s="17"/>
      <c r="F234" s="17"/>
      <c r="G234" s="17"/>
      <c r="H234" s="17"/>
      <c r="I234" s="17"/>
      <c r="J234" s="18" t="str">
        <f t="shared" si="6"/>
        <v/>
      </c>
      <c r="K234" s="11">
        <f t="shared" si="7"/>
        <v>0</v>
      </c>
      <c r="L234" s="8"/>
    </row>
    <row r="235" spans="1:12" x14ac:dyDescent="0.3">
      <c r="A235" s="9"/>
      <c r="B235" s="17"/>
      <c r="C235" s="17"/>
      <c r="D235" s="17"/>
      <c r="E235" s="17"/>
      <c r="F235" s="17"/>
      <c r="G235" s="17"/>
      <c r="H235" s="17"/>
      <c r="I235" s="17"/>
      <c r="J235" s="18" t="str">
        <f t="shared" si="6"/>
        <v/>
      </c>
      <c r="K235" s="11">
        <f t="shared" si="7"/>
        <v>0</v>
      </c>
      <c r="L235" s="8"/>
    </row>
    <row r="236" spans="1:12" x14ac:dyDescent="0.3">
      <c r="A236" s="9"/>
      <c r="B236" s="17"/>
      <c r="C236" s="17"/>
      <c r="D236" s="17"/>
      <c r="E236" s="17"/>
      <c r="F236" s="17"/>
      <c r="G236" s="17"/>
      <c r="H236" s="17"/>
      <c r="I236" s="17"/>
      <c r="J236" s="18" t="str">
        <f t="shared" si="6"/>
        <v/>
      </c>
      <c r="K236" s="11">
        <f t="shared" si="7"/>
        <v>0</v>
      </c>
      <c r="L236" s="8"/>
    </row>
    <row r="237" spans="1:12" x14ac:dyDescent="0.3">
      <c r="A237" s="9"/>
      <c r="B237" s="17"/>
      <c r="C237" s="17"/>
      <c r="D237" s="17"/>
      <c r="E237" s="17"/>
      <c r="F237" s="17"/>
      <c r="G237" s="17"/>
      <c r="H237" s="17"/>
      <c r="I237" s="17"/>
      <c r="J237" s="18" t="str">
        <f t="shared" si="6"/>
        <v/>
      </c>
      <c r="K237" s="11">
        <f t="shared" si="7"/>
        <v>0</v>
      </c>
      <c r="L237" s="8"/>
    </row>
    <row r="238" spans="1:12" x14ac:dyDescent="0.3">
      <c r="A238" s="9"/>
      <c r="B238" s="17"/>
      <c r="C238" s="17"/>
      <c r="D238" s="17"/>
      <c r="E238" s="17"/>
      <c r="F238" s="17"/>
      <c r="G238" s="17"/>
      <c r="H238" s="17"/>
      <c r="I238" s="17"/>
      <c r="J238" s="18" t="str">
        <f t="shared" si="6"/>
        <v/>
      </c>
      <c r="K238" s="11">
        <f t="shared" si="7"/>
        <v>0</v>
      </c>
      <c r="L238" s="8"/>
    </row>
    <row r="239" spans="1:12" x14ac:dyDescent="0.3">
      <c r="A239" s="9"/>
      <c r="B239" s="17"/>
      <c r="C239" s="17"/>
      <c r="D239" s="17"/>
      <c r="E239" s="17"/>
      <c r="F239" s="17"/>
      <c r="G239" s="17"/>
      <c r="H239" s="17"/>
      <c r="I239" s="17"/>
      <c r="J239" s="18" t="str">
        <f t="shared" si="6"/>
        <v/>
      </c>
      <c r="K239" s="11">
        <f t="shared" si="7"/>
        <v>0</v>
      </c>
      <c r="L239" s="8"/>
    </row>
    <row r="240" spans="1:12" x14ac:dyDescent="0.3">
      <c r="A240" s="9"/>
      <c r="B240" s="17"/>
      <c r="C240" s="17"/>
      <c r="D240" s="17"/>
      <c r="E240" s="17"/>
      <c r="F240" s="17"/>
      <c r="G240" s="17"/>
      <c r="H240" s="17"/>
      <c r="I240" s="17"/>
      <c r="J240" s="18" t="str">
        <f t="shared" si="6"/>
        <v/>
      </c>
      <c r="K240" s="11">
        <f t="shared" si="7"/>
        <v>0</v>
      </c>
      <c r="L240" s="8"/>
    </row>
    <row r="241" spans="1:12" x14ac:dyDescent="0.3">
      <c r="A241" s="9"/>
      <c r="B241" s="17"/>
      <c r="C241" s="17"/>
      <c r="D241" s="17"/>
      <c r="E241" s="17"/>
      <c r="F241" s="17"/>
      <c r="G241" s="17"/>
      <c r="H241" s="17"/>
      <c r="I241" s="17"/>
      <c r="J241" s="18" t="str">
        <f t="shared" si="6"/>
        <v/>
      </c>
      <c r="K241" s="11">
        <f t="shared" si="7"/>
        <v>0</v>
      </c>
      <c r="L241" s="8"/>
    </row>
    <row r="242" spans="1:12" x14ac:dyDescent="0.3">
      <c r="A242" s="9"/>
      <c r="B242" s="17"/>
      <c r="C242" s="17"/>
      <c r="D242" s="17"/>
      <c r="E242" s="17"/>
      <c r="F242" s="17"/>
      <c r="G242" s="17"/>
      <c r="H242" s="17"/>
      <c r="I242" s="17"/>
      <c r="J242" s="18" t="str">
        <f t="shared" si="6"/>
        <v/>
      </c>
      <c r="K242" s="11">
        <f t="shared" si="7"/>
        <v>0</v>
      </c>
      <c r="L242" s="8"/>
    </row>
    <row r="243" spans="1:12" x14ac:dyDescent="0.3">
      <c r="A243" s="9"/>
      <c r="B243" s="17"/>
      <c r="C243" s="17"/>
      <c r="D243" s="17"/>
      <c r="E243" s="17"/>
      <c r="F243" s="17"/>
      <c r="G243" s="17"/>
      <c r="H243" s="17"/>
      <c r="I243" s="17"/>
      <c r="J243" s="18" t="str">
        <f t="shared" si="6"/>
        <v/>
      </c>
      <c r="K243" s="11">
        <f t="shared" si="7"/>
        <v>0</v>
      </c>
      <c r="L243" s="8"/>
    </row>
    <row r="244" spans="1:12" x14ac:dyDescent="0.3">
      <c r="A244" s="9"/>
      <c r="B244" s="17"/>
      <c r="C244" s="17"/>
      <c r="D244" s="17"/>
      <c r="E244" s="17"/>
      <c r="F244" s="17"/>
      <c r="G244" s="17"/>
      <c r="H244" s="17"/>
      <c r="I244" s="17"/>
      <c r="J244" s="18" t="str">
        <f t="shared" si="6"/>
        <v/>
      </c>
      <c r="K244" s="11">
        <f t="shared" si="7"/>
        <v>0</v>
      </c>
      <c r="L244" s="8"/>
    </row>
    <row r="245" spans="1:12" x14ac:dyDescent="0.3">
      <c r="A245" s="9"/>
      <c r="B245" s="17"/>
      <c r="C245" s="17"/>
      <c r="D245" s="17"/>
      <c r="E245" s="17"/>
      <c r="F245" s="17"/>
      <c r="G245" s="17"/>
      <c r="H245" s="17"/>
      <c r="I245" s="17"/>
      <c r="J245" s="18" t="str">
        <f t="shared" si="6"/>
        <v/>
      </c>
      <c r="K245" s="11">
        <f t="shared" si="7"/>
        <v>0</v>
      </c>
      <c r="L245" s="8"/>
    </row>
    <row r="246" spans="1:12" x14ac:dyDescent="0.3">
      <c r="A246" s="9"/>
      <c r="B246" s="17"/>
      <c r="C246" s="17"/>
      <c r="D246" s="17"/>
      <c r="E246" s="17"/>
      <c r="F246" s="17"/>
      <c r="G246" s="17"/>
      <c r="H246" s="17"/>
      <c r="I246" s="17"/>
      <c r="J246" s="18" t="str">
        <f t="shared" si="6"/>
        <v/>
      </c>
      <c r="K246" s="11">
        <f t="shared" si="7"/>
        <v>0</v>
      </c>
      <c r="L246" s="8"/>
    </row>
    <row r="247" spans="1:12" x14ac:dyDescent="0.3">
      <c r="A247" s="9"/>
      <c r="B247" s="17"/>
      <c r="C247" s="17"/>
      <c r="D247" s="17"/>
      <c r="E247" s="17"/>
      <c r="F247" s="17"/>
      <c r="G247" s="17"/>
      <c r="H247" s="17"/>
      <c r="I247" s="17"/>
      <c r="J247" s="18" t="str">
        <f t="shared" si="6"/>
        <v/>
      </c>
      <c r="K247" s="11">
        <f t="shared" si="7"/>
        <v>0</v>
      </c>
      <c r="L247" s="8"/>
    </row>
    <row r="248" spans="1:12" x14ac:dyDescent="0.3">
      <c r="A248" s="9"/>
      <c r="B248" s="17"/>
      <c r="C248" s="17"/>
      <c r="D248" s="17"/>
      <c r="E248" s="17"/>
      <c r="F248" s="17"/>
      <c r="G248" s="17"/>
      <c r="H248" s="17"/>
      <c r="I248" s="17"/>
      <c r="J248" s="18" t="str">
        <f t="shared" si="6"/>
        <v/>
      </c>
      <c r="K248" s="11">
        <f t="shared" si="7"/>
        <v>0</v>
      </c>
      <c r="L248" s="8"/>
    </row>
    <row r="249" spans="1:12" x14ac:dyDescent="0.3">
      <c r="A249" s="9"/>
      <c r="B249" s="17"/>
      <c r="C249" s="17"/>
      <c r="D249" s="17"/>
      <c r="E249" s="17"/>
      <c r="F249" s="17"/>
      <c r="G249" s="17"/>
      <c r="H249" s="17"/>
      <c r="I249" s="17"/>
      <c r="J249" s="18" t="str">
        <f t="shared" si="6"/>
        <v/>
      </c>
      <c r="K249" s="11">
        <f t="shared" si="7"/>
        <v>0</v>
      </c>
      <c r="L249" s="8"/>
    </row>
    <row r="250" spans="1:12" x14ac:dyDescent="0.3">
      <c r="A250" s="9"/>
      <c r="B250" s="17"/>
      <c r="C250" s="17"/>
      <c r="D250" s="17"/>
      <c r="E250" s="17"/>
      <c r="F250" s="17"/>
      <c r="G250" s="17"/>
      <c r="H250" s="17"/>
      <c r="I250" s="17"/>
      <c r="J250" s="18" t="str">
        <f t="shared" si="6"/>
        <v/>
      </c>
      <c r="K250" s="11">
        <f t="shared" si="7"/>
        <v>0</v>
      </c>
      <c r="L250" s="8"/>
    </row>
    <row r="251" spans="1:12" x14ac:dyDescent="0.3">
      <c r="A251" s="9"/>
      <c r="B251" s="17"/>
      <c r="C251" s="17"/>
      <c r="D251" s="17"/>
      <c r="E251" s="17"/>
      <c r="F251" s="17"/>
      <c r="G251" s="17"/>
      <c r="H251" s="17"/>
      <c r="I251" s="17"/>
      <c r="J251" s="18" t="str">
        <f t="shared" si="6"/>
        <v/>
      </c>
      <c r="K251" s="11">
        <f t="shared" si="7"/>
        <v>0</v>
      </c>
      <c r="L251" s="8"/>
    </row>
    <row r="252" spans="1:12" x14ac:dyDescent="0.3">
      <c r="A252" s="9"/>
      <c r="B252" s="17"/>
      <c r="C252" s="17"/>
      <c r="D252" s="17"/>
      <c r="E252" s="17"/>
      <c r="F252" s="17"/>
      <c r="G252" s="17"/>
      <c r="H252" s="17"/>
      <c r="I252" s="17"/>
      <c r="J252" s="18" t="str">
        <f t="shared" si="6"/>
        <v/>
      </c>
      <c r="K252" s="11">
        <f t="shared" si="7"/>
        <v>0</v>
      </c>
      <c r="L252" s="8"/>
    </row>
    <row r="253" spans="1:12" x14ac:dyDescent="0.3">
      <c r="A253" s="9"/>
      <c r="B253" s="17"/>
      <c r="C253" s="17"/>
      <c r="D253" s="17"/>
      <c r="E253" s="17"/>
      <c r="F253" s="17"/>
      <c r="G253" s="17"/>
      <c r="H253" s="17"/>
      <c r="I253" s="17"/>
      <c r="J253" s="18" t="str">
        <f t="shared" si="6"/>
        <v/>
      </c>
      <c r="K253" s="11">
        <f t="shared" si="7"/>
        <v>0</v>
      </c>
      <c r="L253" s="8"/>
    </row>
    <row r="254" spans="1:12" x14ac:dyDescent="0.3">
      <c r="A254" s="9"/>
      <c r="B254" s="17"/>
      <c r="C254" s="17"/>
      <c r="D254" s="17"/>
      <c r="E254" s="17"/>
      <c r="F254" s="17"/>
      <c r="G254" s="17"/>
      <c r="H254" s="17"/>
      <c r="I254" s="17"/>
      <c r="J254" s="18" t="str">
        <f t="shared" si="6"/>
        <v/>
      </c>
      <c r="K254" s="11">
        <f t="shared" si="7"/>
        <v>0</v>
      </c>
      <c r="L254" s="8"/>
    </row>
    <row r="255" spans="1:12" x14ac:dyDescent="0.3">
      <c r="A255" s="9"/>
      <c r="B255" s="17"/>
      <c r="C255" s="17"/>
      <c r="D255" s="17"/>
      <c r="E255" s="17"/>
      <c r="F255" s="17"/>
      <c r="G255" s="17"/>
      <c r="H255" s="17"/>
      <c r="I255" s="17"/>
      <c r="J255" s="18" t="str">
        <f t="shared" si="6"/>
        <v/>
      </c>
      <c r="K255" s="11">
        <f t="shared" si="7"/>
        <v>0</v>
      </c>
      <c r="L255" s="8"/>
    </row>
    <row r="256" spans="1:12" x14ac:dyDescent="0.3">
      <c r="A256" s="9"/>
      <c r="B256" s="17"/>
      <c r="C256" s="17"/>
      <c r="D256" s="17"/>
      <c r="E256" s="17"/>
      <c r="F256" s="17"/>
      <c r="G256" s="17"/>
      <c r="H256" s="17"/>
      <c r="I256" s="17"/>
      <c r="J256" s="18" t="str">
        <f t="shared" si="6"/>
        <v/>
      </c>
      <c r="K256" s="11">
        <f t="shared" si="7"/>
        <v>0</v>
      </c>
      <c r="L256" s="8"/>
    </row>
    <row r="257" spans="1:12" x14ac:dyDescent="0.3">
      <c r="A257" s="9"/>
      <c r="B257" s="17"/>
      <c r="C257" s="17"/>
      <c r="D257" s="17"/>
      <c r="E257" s="17"/>
      <c r="F257" s="17"/>
      <c r="G257" s="17"/>
      <c r="H257" s="17"/>
      <c r="I257" s="17"/>
      <c r="J257" s="18" t="str">
        <f t="shared" si="6"/>
        <v/>
      </c>
      <c r="K257" s="11">
        <f t="shared" si="7"/>
        <v>0</v>
      </c>
      <c r="L257" s="8"/>
    </row>
    <row r="258" spans="1:12" x14ac:dyDescent="0.3">
      <c r="A258" s="9"/>
      <c r="B258" s="17"/>
      <c r="C258" s="17"/>
      <c r="D258" s="17"/>
      <c r="E258" s="17"/>
      <c r="F258" s="17"/>
      <c r="G258" s="17"/>
      <c r="H258" s="17"/>
      <c r="I258" s="17"/>
      <c r="J258" s="18" t="str">
        <f t="shared" si="6"/>
        <v/>
      </c>
      <c r="K258" s="11">
        <f t="shared" si="7"/>
        <v>0</v>
      </c>
      <c r="L258" s="8"/>
    </row>
    <row r="259" spans="1:12" x14ac:dyDescent="0.3">
      <c r="A259" s="9"/>
      <c r="B259" s="17"/>
      <c r="C259" s="17"/>
      <c r="D259" s="17"/>
      <c r="E259" s="17"/>
      <c r="F259" s="17"/>
      <c r="G259" s="17"/>
      <c r="H259" s="17"/>
      <c r="I259" s="17"/>
      <c r="J259" s="18" t="str">
        <f t="shared" si="6"/>
        <v/>
      </c>
      <c r="K259" s="11">
        <f t="shared" si="7"/>
        <v>0</v>
      </c>
      <c r="L259" s="8"/>
    </row>
    <row r="260" spans="1:12" x14ac:dyDescent="0.3">
      <c r="A260" s="9"/>
      <c r="B260" s="17"/>
      <c r="C260" s="17"/>
      <c r="D260" s="17"/>
      <c r="E260" s="17"/>
      <c r="F260" s="17"/>
      <c r="G260" s="17"/>
      <c r="H260" s="17"/>
      <c r="I260" s="17"/>
      <c r="J260" s="18" t="str">
        <f t="shared" si="6"/>
        <v/>
      </c>
      <c r="K260" s="11">
        <f t="shared" si="7"/>
        <v>0</v>
      </c>
      <c r="L260" s="8"/>
    </row>
    <row r="261" spans="1:12" x14ac:dyDescent="0.3">
      <c r="A261" s="9"/>
      <c r="B261" s="17"/>
      <c r="C261" s="17"/>
      <c r="D261" s="17"/>
      <c r="E261" s="17"/>
      <c r="F261" s="17"/>
      <c r="G261" s="17"/>
      <c r="H261" s="17"/>
      <c r="I261" s="17"/>
      <c r="J261" s="18" t="str">
        <f t="shared" ref="J261:J324" si="8">IF(OR(I261="",B261=""),"",I261-B261)</f>
        <v/>
      </c>
      <c r="K261" s="11">
        <f t="shared" ref="K261:K324" si="9">IFERROR(J261/B261,0)</f>
        <v>0</v>
      </c>
      <c r="L261" s="8"/>
    </row>
    <row r="262" spans="1:12" x14ac:dyDescent="0.3">
      <c r="A262" s="9"/>
      <c r="B262" s="17"/>
      <c r="C262" s="17"/>
      <c r="D262" s="17"/>
      <c r="E262" s="17"/>
      <c r="F262" s="17"/>
      <c r="G262" s="17"/>
      <c r="H262" s="17"/>
      <c r="I262" s="17"/>
      <c r="J262" s="18" t="str">
        <f t="shared" si="8"/>
        <v/>
      </c>
      <c r="K262" s="11">
        <f t="shared" si="9"/>
        <v>0</v>
      </c>
      <c r="L262" s="8"/>
    </row>
    <row r="263" spans="1:12" x14ac:dyDescent="0.3">
      <c r="A263" s="9"/>
      <c r="B263" s="17"/>
      <c r="C263" s="17"/>
      <c r="D263" s="17"/>
      <c r="E263" s="17"/>
      <c r="F263" s="17"/>
      <c r="G263" s="17"/>
      <c r="H263" s="17"/>
      <c r="I263" s="17"/>
      <c r="J263" s="18" t="str">
        <f t="shared" si="8"/>
        <v/>
      </c>
      <c r="K263" s="11">
        <f t="shared" si="9"/>
        <v>0</v>
      </c>
      <c r="L263" s="8"/>
    </row>
    <row r="264" spans="1:12" x14ac:dyDescent="0.3">
      <c r="A264" s="9"/>
      <c r="B264" s="17"/>
      <c r="C264" s="17"/>
      <c r="D264" s="17"/>
      <c r="E264" s="17"/>
      <c r="F264" s="17"/>
      <c r="G264" s="17"/>
      <c r="H264" s="17"/>
      <c r="I264" s="17"/>
      <c r="J264" s="18" t="str">
        <f t="shared" si="8"/>
        <v/>
      </c>
      <c r="K264" s="11">
        <f t="shared" si="9"/>
        <v>0</v>
      </c>
      <c r="L264" s="8"/>
    </row>
    <row r="265" spans="1:12" x14ac:dyDescent="0.3">
      <c r="A265" s="9"/>
      <c r="B265" s="17"/>
      <c r="C265" s="17"/>
      <c r="D265" s="17"/>
      <c r="E265" s="17"/>
      <c r="F265" s="17"/>
      <c r="G265" s="17"/>
      <c r="H265" s="17"/>
      <c r="I265" s="17"/>
      <c r="J265" s="18" t="str">
        <f t="shared" si="8"/>
        <v/>
      </c>
      <c r="K265" s="11">
        <f t="shared" si="9"/>
        <v>0</v>
      </c>
      <c r="L265" s="8"/>
    </row>
    <row r="266" spans="1:12" x14ac:dyDescent="0.3">
      <c r="A266" s="9"/>
      <c r="B266" s="17"/>
      <c r="C266" s="17"/>
      <c r="D266" s="17"/>
      <c r="E266" s="17"/>
      <c r="F266" s="17"/>
      <c r="G266" s="17"/>
      <c r="H266" s="17"/>
      <c r="I266" s="17"/>
      <c r="J266" s="18" t="str">
        <f t="shared" si="8"/>
        <v/>
      </c>
      <c r="K266" s="11">
        <f t="shared" si="9"/>
        <v>0</v>
      </c>
      <c r="L266" s="8"/>
    </row>
    <row r="267" spans="1:12" x14ac:dyDescent="0.3">
      <c r="A267" s="9"/>
      <c r="B267" s="17"/>
      <c r="C267" s="17"/>
      <c r="D267" s="17"/>
      <c r="E267" s="17"/>
      <c r="F267" s="17"/>
      <c r="G267" s="17"/>
      <c r="H267" s="17"/>
      <c r="I267" s="17"/>
      <c r="J267" s="18" t="str">
        <f t="shared" si="8"/>
        <v/>
      </c>
      <c r="K267" s="11">
        <f t="shared" si="9"/>
        <v>0</v>
      </c>
      <c r="L267" s="8"/>
    </row>
    <row r="268" spans="1:12" x14ac:dyDescent="0.3">
      <c r="A268" s="9"/>
      <c r="B268" s="17"/>
      <c r="C268" s="17"/>
      <c r="D268" s="17"/>
      <c r="E268" s="17"/>
      <c r="F268" s="17"/>
      <c r="G268" s="17"/>
      <c r="H268" s="17"/>
      <c r="I268" s="17"/>
      <c r="J268" s="18" t="str">
        <f t="shared" si="8"/>
        <v/>
      </c>
      <c r="K268" s="11">
        <f t="shared" si="9"/>
        <v>0</v>
      </c>
      <c r="L268" s="8"/>
    </row>
    <row r="269" spans="1:12" x14ac:dyDescent="0.3">
      <c r="A269" s="9"/>
      <c r="B269" s="17"/>
      <c r="C269" s="17"/>
      <c r="D269" s="17"/>
      <c r="E269" s="17"/>
      <c r="F269" s="17"/>
      <c r="G269" s="17"/>
      <c r="H269" s="17"/>
      <c r="I269" s="17"/>
      <c r="J269" s="18" t="str">
        <f t="shared" si="8"/>
        <v/>
      </c>
      <c r="K269" s="11">
        <f t="shared" si="9"/>
        <v>0</v>
      </c>
      <c r="L269" s="8"/>
    </row>
    <row r="270" spans="1:12" x14ac:dyDescent="0.3">
      <c r="A270" s="9"/>
      <c r="B270" s="17"/>
      <c r="C270" s="17"/>
      <c r="D270" s="17"/>
      <c r="E270" s="17"/>
      <c r="F270" s="17"/>
      <c r="G270" s="17"/>
      <c r="H270" s="17"/>
      <c r="I270" s="17"/>
      <c r="J270" s="18" t="str">
        <f t="shared" si="8"/>
        <v/>
      </c>
      <c r="K270" s="11">
        <f t="shared" si="9"/>
        <v>0</v>
      </c>
      <c r="L270" s="8"/>
    </row>
    <row r="271" spans="1:12" x14ac:dyDescent="0.3">
      <c r="A271" s="9"/>
      <c r="B271" s="17"/>
      <c r="C271" s="17"/>
      <c r="D271" s="17"/>
      <c r="E271" s="17"/>
      <c r="F271" s="17"/>
      <c r="G271" s="17"/>
      <c r="H271" s="17"/>
      <c r="I271" s="17"/>
      <c r="J271" s="18" t="str">
        <f t="shared" si="8"/>
        <v/>
      </c>
      <c r="K271" s="11">
        <f t="shared" si="9"/>
        <v>0</v>
      </c>
      <c r="L271" s="8"/>
    </row>
    <row r="272" spans="1:12" x14ac:dyDescent="0.3">
      <c r="A272" s="9"/>
      <c r="B272" s="17"/>
      <c r="C272" s="17"/>
      <c r="D272" s="17"/>
      <c r="E272" s="17"/>
      <c r="F272" s="17"/>
      <c r="G272" s="17"/>
      <c r="H272" s="17"/>
      <c r="I272" s="17"/>
      <c r="J272" s="18" t="str">
        <f t="shared" si="8"/>
        <v/>
      </c>
      <c r="K272" s="11">
        <f t="shared" si="9"/>
        <v>0</v>
      </c>
      <c r="L272" s="8"/>
    </row>
    <row r="273" spans="1:12" x14ac:dyDescent="0.3">
      <c r="A273" s="9"/>
      <c r="B273" s="17"/>
      <c r="C273" s="17"/>
      <c r="D273" s="17"/>
      <c r="E273" s="17"/>
      <c r="F273" s="17"/>
      <c r="G273" s="17"/>
      <c r="H273" s="17"/>
      <c r="I273" s="17"/>
      <c r="J273" s="18" t="str">
        <f t="shared" si="8"/>
        <v/>
      </c>
      <c r="K273" s="11">
        <f t="shared" si="9"/>
        <v>0</v>
      </c>
      <c r="L273" s="8"/>
    </row>
    <row r="274" spans="1:12" x14ac:dyDescent="0.3">
      <c r="A274" s="9"/>
      <c r="B274" s="17"/>
      <c r="C274" s="17"/>
      <c r="D274" s="17"/>
      <c r="E274" s="17"/>
      <c r="F274" s="17"/>
      <c r="G274" s="17"/>
      <c r="H274" s="17"/>
      <c r="I274" s="17"/>
      <c r="J274" s="18" t="str">
        <f t="shared" si="8"/>
        <v/>
      </c>
      <c r="K274" s="11">
        <f t="shared" si="9"/>
        <v>0</v>
      </c>
      <c r="L274" s="8"/>
    </row>
    <row r="275" spans="1:12" x14ac:dyDescent="0.3">
      <c r="A275" s="9"/>
      <c r="B275" s="17"/>
      <c r="C275" s="17"/>
      <c r="D275" s="17"/>
      <c r="E275" s="17"/>
      <c r="F275" s="17"/>
      <c r="G275" s="17"/>
      <c r="H275" s="17"/>
      <c r="I275" s="17"/>
      <c r="J275" s="18" t="str">
        <f t="shared" si="8"/>
        <v/>
      </c>
      <c r="K275" s="11">
        <f t="shared" si="9"/>
        <v>0</v>
      </c>
      <c r="L275" s="8"/>
    </row>
    <row r="276" spans="1:12" x14ac:dyDescent="0.3">
      <c r="A276" s="9"/>
      <c r="B276" s="17"/>
      <c r="C276" s="17"/>
      <c r="D276" s="17"/>
      <c r="E276" s="17"/>
      <c r="F276" s="17"/>
      <c r="G276" s="17"/>
      <c r="H276" s="17"/>
      <c r="I276" s="17"/>
      <c r="J276" s="18" t="str">
        <f t="shared" si="8"/>
        <v/>
      </c>
      <c r="K276" s="11">
        <f t="shared" si="9"/>
        <v>0</v>
      </c>
      <c r="L276" s="8"/>
    </row>
    <row r="277" spans="1:12" x14ac:dyDescent="0.3">
      <c r="A277" s="9"/>
      <c r="B277" s="17"/>
      <c r="C277" s="17"/>
      <c r="D277" s="17"/>
      <c r="E277" s="17"/>
      <c r="F277" s="17"/>
      <c r="G277" s="17"/>
      <c r="H277" s="17"/>
      <c r="I277" s="17"/>
      <c r="J277" s="18" t="str">
        <f t="shared" si="8"/>
        <v/>
      </c>
      <c r="K277" s="11">
        <f t="shared" si="9"/>
        <v>0</v>
      </c>
      <c r="L277" s="8"/>
    </row>
    <row r="278" spans="1:12" x14ac:dyDescent="0.3">
      <c r="A278" s="9"/>
      <c r="B278" s="17"/>
      <c r="C278" s="17"/>
      <c r="D278" s="17"/>
      <c r="E278" s="17"/>
      <c r="F278" s="17"/>
      <c r="G278" s="17"/>
      <c r="H278" s="17"/>
      <c r="I278" s="17"/>
      <c r="J278" s="18" t="str">
        <f t="shared" si="8"/>
        <v/>
      </c>
      <c r="K278" s="11">
        <f t="shared" si="9"/>
        <v>0</v>
      </c>
      <c r="L278" s="8"/>
    </row>
    <row r="279" spans="1:12" x14ac:dyDescent="0.3">
      <c r="A279" s="9"/>
      <c r="B279" s="17"/>
      <c r="C279" s="17"/>
      <c r="D279" s="17"/>
      <c r="E279" s="17"/>
      <c r="F279" s="17"/>
      <c r="G279" s="17"/>
      <c r="H279" s="17"/>
      <c r="I279" s="17"/>
      <c r="J279" s="18" t="str">
        <f t="shared" si="8"/>
        <v/>
      </c>
      <c r="K279" s="11">
        <f t="shared" si="9"/>
        <v>0</v>
      </c>
      <c r="L279" s="8"/>
    </row>
    <row r="280" spans="1:12" x14ac:dyDescent="0.3">
      <c r="A280" s="9"/>
      <c r="B280" s="17"/>
      <c r="C280" s="17"/>
      <c r="D280" s="17"/>
      <c r="E280" s="17"/>
      <c r="F280" s="17"/>
      <c r="G280" s="17"/>
      <c r="H280" s="17"/>
      <c r="I280" s="17"/>
      <c r="J280" s="18" t="str">
        <f t="shared" si="8"/>
        <v/>
      </c>
      <c r="K280" s="11">
        <f t="shared" si="9"/>
        <v>0</v>
      </c>
      <c r="L280" s="8"/>
    </row>
    <row r="281" spans="1:12" x14ac:dyDescent="0.3">
      <c r="A281" s="9"/>
      <c r="B281" s="17"/>
      <c r="C281" s="17"/>
      <c r="D281" s="17"/>
      <c r="E281" s="17"/>
      <c r="F281" s="17"/>
      <c r="G281" s="17"/>
      <c r="H281" s="17"/>
      <c r="I281" s="17"/>
      <c r="J281" s="18" t="str">
        <f t="shared" si="8"/>
        <v/>
      </c>
      <c r="K281" s="11">
        <f t="shared" si="9"/>
        <v>0</v>
      </c>
      <c r="L281" s="8"/>
    </row>
    <row r="282" spans="1:12" x14ac:dyDescent="0.3">
      <c r="A282" s="9"/>
      <c r="B282" s="17"/>
      <c r="C282" s="17"/>
      <c r="D282" s="17"/>
      <c r="E282" s="17"/>
      <c r="F282" s="17"/>
      <c r="G282" s="17"/>
      <c r="H282" s="17"/>
      <c r="I282" s="17"/>
      <c r="J282" s="18" t="str">
        <f t="shared" si="8"/>
        <v/>
      </c>
      <c r="K282" s="11">
        <f t="shared" si="9"/>
        <v>0</v>
      </c>
      <c r="L282" s="8"/>
    </row>
    <row r="283" spans="1:12" x14ac:dyDescent="0.3">
      <c r="A283" s="9"/>
      <c r="B283" s="17"/>
      <c r="C283" s="17"/>
      <c r="D283" s="17"/>
      <c r="E283" s="17"/>
      <c r="F283" s="17"/>
      <c r="G283" s="17"/>
      <c r="H283" s="17"/>
      <c r="I283" s="17"/>
      <c r="J283" s="18" t="str">
        <f t="shared" si="8"/>
        <v/>
      </c>
      <c r="K283" s="11">
        <f t="shared" si="9"/>
        <v>0</v>
      </c>
      <c r="L283" s="8"/>
    </row>
    <row r="284" spans="1:12" x14ac:dyDescent="0.3">
      <c r="A284" s="9"/>
      <c r="B284" s="17"/>
      <c r="C284" s="17"/>
      <c r="D284" s="17"/>
      <c r="E284" s="17"/>
      <c r="F284" s="17"/>
      <c r="G284" s="17"/>
      <c r="H284" s="17"/>
      <c r="I284" s="17"/>
      <c r="J284" s="18" t="str">
        <f t="shared" si="8"/>
        <v/>
      </c>
      <c r="K284" s="11">
        <f t="shared" si="9"/>
        <v>0</v>
      </c>
      <c r="L284" s="8"/>
    </row>
    <row r="285" spans="1:12" x14ac:dyDescent="0.3">
      <c r="A285" s="9"/>
      <c r="B285" s="17"/>
      <c r="C285" s="17"/>
      <c r="D285" s="17"/>
      <c r="E285" s="17"/>
      <c r="F285" s="17"/>
      <c r="G285" s="17"/>
      <c r="H285" s="17"/>
      <c r="I285" s="17"/>
      <c r="J285" s="18" t="str">
        <f t="shared" si="8"/>
        <v/>
      </c>
      <c r="K285" s="11">
        <f t="shared" si="9"/>
        <v>0</v>
      </c>
      <c r="L285" s="8"/>
    </row>
    <row r="286" spans="1:12" x14ac:dyDescent="0.3">
      <c r="A286" s="9"/>
      <c r="B286" s="17"/>
      <c r="C286" s="17"/>
      <c r="D286" s="17"/>
      <c r="E286" s="17"/>
      <c r="F286" s="17"/>
      <c r="G286" s="17"/>
      <c r="H286" s="17"/>
      <c r="I286" s="17"/>
      <c r="J286" s="18" t="str">
        <f t="shared" si="8"/>
        <v/>
      </c>
      <c r="K286" s="11">
        <f t="shared" si="9"/>
        <v>0</v>
      </c>
      <c r="L286" s="8"/>
    </row>
    <row r="287" spans="1:12" x14ac:dyDescent="0.3">
      <c r="A287" s="9"/>
      <c r="B287" s="17"/>
      <c r="C287" s="17"/>
      <c r="D287" s="17"/>
      <c r="E287" s="17"/>
      <c r="F287" s="17"/>
      <c r="G287" s="17"/>
      <c r="H287" s="17"/>
      <c r="I287" s="17"/>
      <c r="J287" s="18" t="str">
        <f t="shared" si="8"/>
        <v/>
      </c>
      <c r="K287" s="11">
        <f t="shared" si="9"/>
        <v>0</v>
      </c>
      <c r="L287" s="8"/>
    </row>
    <row r="288" spans="1:12" x14ac:dyDescent="0.3">
      <c r="A288" s="9"/>
      <c r="B288" s="17"/>
      <c r="C288" s="17"/>
      <c r="D288" s="17"/>
      <c r="E288" s="17"/>
      <c r="F288" s="17"/>
      <c r="G288" s="17"/>
      <c r="H288" s="17"/>
      <c r="I288" s="17"/>
      <c r="J288" s="18" t="str">
        <f t="shared" si="8"/>
        <v/>
      </c>
      <c r="K288" s="11">
        <f t="shared" si="9"/>
        <v>0</v>
      </c>
      <c r="L288" s="8"/>
    </row>
    <row r="289" spans="1:12" x14ac:dyDescent="0.3">
      <c r="A289" s="9"/>
      <c r="B289" s="17"/>
      <c r="C289" s="17"/>
      <c r="D289" s="17"/>
      <c r="E289" s="17"/>
      <c r="F289" s="17"/>
      <c r="G289" s="17"/>
      <c r="H289" s="17"/>
      <c r="I289" s="17"/>
      <c r="J289" s="18" t="str">
        <f t="shared" si="8"/>
        <v/>
      </c>
      <c r="K289" s="11">
        <f t="shared" si="9"/>
        <v>0</v>
      </c>
      <c r="L289" s="8"/>
    </row>
    <row r="290" spans="1:12" x14ac:dyDescent="0.3">
      <c r="A290" s="9"/>
      <c r="B290" s="17"/>
      <c r="C290" s="17"/>
      <c r="D290" s="17"/>
      <c r="E290" s="17"/>
      <c r="F290" s="17"/>
      <c r="G290" s="17"/>
      <c r="H290" s="17"/>
      <c r="I290" s="17"/>
      <c r="J290" s="18" t="str">
        <f t="shared" si="8"/>
        <v/>
      </c>
      <c r="K290" s="11">
        <f t="shared" si="9"/>
        <v>0</v>
      </c>
      <c r="L290" s="8"/>
    </row>
    <row r="291" spans="1:12" x14ac:dyDescent="0.3">
      <c r="A291" s="9"/>
      <c r="B291" s="17"/>
      <c r="C291" s="17"/>
      <c r="D291" s="17"/>
      <c r="E291" s="17"/>
      <c r="F291" s="17"/>
      <c r="G291" s="17"/>
      <c r="H291" s="17"/>
      <c r="I291" s="17"/>
      <c r="J291" s="18" t="str">
        <f t="shared" si="8"/>
        <v/>
      </c>
      <c r="K291" s="11">
        <f t="shared" si="9"/>
        <v>0</v>
      </c>
      <c r="L291" s="8"/>
    </row>
    <row r="292" spans="1:12" x14ac:dyDescent="0.3">
      <c r="A292" s="9"/>
      <c r="B292" s="17"/>
      <c r="C292" s="17"/>
      <c r="D292" s="17"/>
      <c r="E292" s="17"/>
      <c r="F292" s="17"/>
      <c r="G292" s="17"/>
      <c r="H292" s="17"/>
      <c r="I292" s="17"/>
      <c r="J292" s="18" t="str">
        <f t="shared" si="8"/>
        <v/>
      </c>
      <c r="K292" s="11">
        <f t="shared" si="9"/>
        <v>0</v>
      </c>
      <c r="L292" s="8"/>
    </row>
    <row r="293" spans="1:12" x14ac:dyDescent="0.3">
      <c r="A293" s="9"/>
      <c r="B293" s="17"/>
      <c r="C293" s="17"/>
      <c r="D293" s="17"/>
      <c r="E293" s="17"/>
      <c r="F293" s="17"/>
      <c r="G293" s="17"/>
      <c r="H293" s="17"/>
      <c r="I293" s="17"/>
      <c r="J293" s="18" t="str">
        <f t="shared" si="8"/>
        <v/>
      </c>
      <c r="K293" s="11">
        <f t="shared" si="9"/>
        <v>0</v>
      </c>
      <c r="L293" s="8"/>
    </row>
    <row r="294" spans="1:12" x14ac:dyDescent="0.3">
      <c r="A294" s="9"/>
      <c r="B294" s="17"/>
      <c r="C294" s="17"/>
      <c r="D294" s="17"/>
      <c r="E294" s="17"/>
      <c r="F294" s="17"/>
      <c r="G294" s="17"/>
      <c r="H294" s="17"/>
      <c r="I294" s="17"/>
      <c r="J294" s="18" t="str">
        <f t="shared" si="8"/>
        <v/>
      </c>
      <c r="K294" s="11">
        <f t="shared" si="9"/>
        <v>0</v>
      </c>
      <c r="L294" s="8"/>
    </row>
    <row r="295" spans="1:12" x14ac:dyDescent="0.3">
      <c r="A295" s="9"/>
      <c r="B295" s="17"/>
      <c r="C295" s="17"/>
      <c r="D295" s="17"/>
      <c r="E295" s="17"/>
      <c r="F295" s="17"/>
      <c r="G295" s="17"/>
      <c r="H295" s="17"/>
      <c r="I295" s="17"/>
      <c r="J295" s="18" t="str">
        <f t="shared" si="8"/>
        <v/>
      </c>
      <c r="K295" s="11">
        <f t="shared" si="9"/>
        <v>0</v>
      </c>
      <c r="L295" s="8"/>
    </row>
    <row r="296" spans="1:12" x14ac:dyDescent="0.3">
      <c r="A296" s="9"/>
      <c r="B296" s="17"/>
      <c r="C296" s="17"/>
      <c r="D296" s="17"/>
      <c r="E296" s="17"/>
      <c r="F296" s="17"/>
      <c r="G296" s="17"/>
      <c r="H296" s="17"/>
      <c r="I296" s="17"/>
      <c r="J296" s="18" t="str">
        <f t="shared" si="8"/>
        <v/>
      </c>
      <c r="K296" s="11">
        <f t="shared" si="9"/>
        <v>0</v>
      </c>
      <c r="L296" s="8"/>
    </row>
    <row r="297" spans="1:12" x14ac:dyDescent="0.3">
      <c r="A297" s="9"/>
      <c r="B297" s="17"/>
      <c r="C297" s="17"/>
      <c r="D297" s="17"/>
      <c r="E297" s="17"/>
      <c r="F297" s="17"/>
      <c r="G297" s="17"/>
      <c r="H297" s="17"/>
      <c r="I297" s="17"/>
      <c r="J297" s="18" t="str">
        <f t="shared" si="8"/>
        <v/>
      </c>
      <c r="K297" s="11">
        <f t="shared" si="9"/>
        <v>0</v>
      </c>
      <c r="L297" s="8"/>
    </row>
    <row r="298" spans="1:12" x14ac:dyDescent="0.3">
      <c r="A298" s="9"/>
      <c r="B298" s="17"/>
      <c r="C298" s="17"/>
      <c r="D298" s="17"/>
      <c r="E298" s="17"/>
      <c r="F298" s="17"/>
      <c r="G298" s="17"/>
      <c r="H298" s="17"/>
      <c r="I298" s="17"/>
      <c r="J298" s="18" t="str">
        <f t="shared" si="8"/>
        <v/>
      </c>
      <c r="K298" s="11">
        <f t="shared" si="9"/>
        <v>0</v>
      </c>
      <c r="L298" s="8"/>
    </row>
    <row r="299" spans="1:12" x14ac:dyDescent="0.3">
      <c r="A299" s="9"/>
      <c r="B299" s="17"/>
      <c r="C299" s="17"/>
      <c r="D299" s="17"/>
      <c r="E299" s="17"/>
      <c r="F299" s="17"/>
      <c r="G299" s="17"/>
      <c r="H299" s="17"/>
      <c r="I299" s="17"/>
      <c r="J299" s="18" t="str">
        <f t="shared" si="8"/>
        <v/>
      </c>
      <c r="K299" s="11">
        <f t="shared" si="9"/>
        <v>0</v>
      </c>
      <c r="L299" s="8"/>
    </row>
    <row r="300" spans="1:12" x14ac:dyDescent="0.3">
      <c r="A300" s="9"/>
      <c r="B300" s="17"/>
      <c r="C300" s="17"/>
      <c r="D300" s="17"/>
      <c r="E300" s="17"/>
      <c r="F300" s="17"/>
      <c r="G300" s="17"/>
      <c r="H300" s="17"/>
      <c r="I300" s="17"/>
      <c r="J300" s="18" t="str">
        <f t="shared" si="8"/>
        <v/>
      </c>
      <c r="K300" s="11">
        <f t="shared" si="9"/>
        <v>0</v>
      </c>
      <c r="L300" s="8"/>
    </row>
    <row r="301" spans="1:12" x14ac:dyDescent="0.3">
      <c r="A301" s="9"/>
      <c r="B301" s="17"/>
      <c r="C301" s="17"/>
      <c r="D301" s="17"/>
      <c r="E301" s="17"/>
      <c r="F301" s="17"/>
      <c r="G301" s="17"/>
      <c r="H301" s="17"/>
      <c r="I301" s="17"/>
      <c r="J301" s="18" t="str">
        <f t="shared" si="8"/>
        <v/>
      </c>
      <c r="K301" s="11">
        <f t="shared" si="9"/>
        <v>0</v>
      </c>
      <c r="L301" s="8"/>
    </row>
    <row r="302" spans="1:12" x14ac:dyDescent="0.3">
      <c r="A302" s="9"/>
      <c r="B302" s="17"/>
      <c r="C302" s="17"/>
      <c r="D302" s="17"/>
      <c r="E302" s="17"/>
      <c r="F302" s="17"/>
      <c r="G302" s="17"/>
      <c r="H302" s="17"/>
      <c r="I302" s="17"/>
      <c r="J302" s="18" t="str">
        <f t="shared" si="8"/>
        <v/>
      </c>
      <c r="K302" s="11">
        <f t="shared" si="9"/>
        <v>0</v>
      </c>
      <c r="L302" s="8"/>
    </row>
    <row r="303" spans="1:12" x14ac:dyDescent="0.3">
      <c r="A303" s="9"/>
      <c r="B303" s="17"/>
      <c r="C303" s="17"/>
      <c r="D303" s="17"/>
      <c r="E303" s="17"/>
      <c r="F303" s="17"/>
      <c r="G303" s="17"/>
      <c r="H303" s="17"/>
      <c r="I303" s="17"/>
      <c r="J303" s="18" t="str">
        <f t="shared" si="8"/>
        <v/>
      </c>
      <c r="K303" s="11">
        <f t="shared" si="9"/>
        <v>0</v>
      </c>
      <c r="L303" s="8"/>
    </row>
    <row r="304" spans="1:12" x14ac:dyDescent="0.3">
      <c r="A304" s="9"/>
      <c r="B304" s="17"/>
      <c r="C304" s="17"/>
      <c r="D304" s="17"/>
      <c r="E304" s="17"/>
      <c r="F304" s="17"/>
      <c r="G304" s="17"/>
      <c r="H304" s="17"/>
      <c r="I304" s="17"/>
      <c r="J304" s="18" t="str">
        <f t="shared" si="8"/>
        <v/>
      </c>
      <c r="K304" s="11">
        <f t="shared" si="9"/>
        <v>0</v>
      </c>
      <c r="L304" s="8"/>
    </row>
    <row r="305" spans="1:12" x14ac:dyDescent="0.3">
      <c r="A305" s="9"/>
      <c r="B305" s="17"/>
      <c r="C305" s="17"/>
      <c r="D305" s="17"/>
      <c r="E305" s="17"/>
      <c r="F305" s="17"/>
      <c r="G305" s="17"/>
      <c r="H305" s="17"/>
      <c r="I305" s="17"/>
      <c r="J305" s="18" t="str">
        <f t="shared" si="8"/>
        <v/>
      </c>
      <c r="K305" s="11">
        <f t="shared" si="9"/>
        <v>0</v>
      </c>
      <c r="L305" s="8"/>
    </row>
    <row r="306" spans="1:12" x14ac:dyDescent="0.3">
      <c r="A306" s="9"/>
      <c r="B306" s="17"/>
      <c r="C306" s="17"/>
      <c r="D306" s="17"/>
      <c r="E306" s="17"/>
      <c r="F306" s="17"/>
      <c r="G306" s="17"/>
      <c r="H306" s="17"/>
      <c r="I306" s="17"/>
      <c r="J306" s="18" t="str">
        <f t="shared" si="8"/>
        <v/>
      </c>
      <c r="K306" s="11">
        <f t="shared" si="9"/>
        <v>0</v>
      </c>
      <c r="L306" s="8"/>
    </row>
    <row r="307" spans="1:12" x14ac:dyDescent="0.3">
      <c r="A307" s="9"/>
      <c r="B307" s="17"/>
      <c r="C307" s="17"/>
      <c r="D307" s="17"/>
      <c r="E307" s="17"/>
      <c r="F307" s="17"/>
      <c r="G307" s="17"/>
      <c r="H307" s="17"/>
      <c r="I307" s="17"/>
      <c r="J307" s="18" t="str">
        <f t="shared" si="8"/>
        <v/>
      </c>
      <c r="K307" s="11">
        <f t="shared" si="9"/>
        <v>0</v>
      </c>
      <c r="L307" s="8"/>
    </row>
    <row r="308" spans="1:12" x14ac:dyDescent="0.3">
      <c r="A308" s="9"/>
      <c r="B308" s="17"/>
      <c r="C308" s="17"/>
      <c r="D308" s="17"/>
      <c r="E308" s="17"/>
      <c r="F308" s="17"/>
      <c r="G308" s="17"/>
      <c r="H308" s="17"/>
      <c r="I308" s="17"/>
      <c r="J308" s="18" t="str">
        <f t="shared" si="8"/>
        <v/>
      </c>
      <c r="K308" s="11">
        <f t="shared" si="9"/>
        <v>0</v>
      </c>
      <c r="L308" s="8"/>
    </row>
    <row r="309" spans="1:12" x14ac:dyDescent="0.3">
      <c r="A309" s="9"/>
      <c r="B309" s="17"/>
      <c r="C309" s="17"/>
      <c r="D309" s="17"/>
      <c r="E309" s="17"/>
      <c r="F309" s="17"/>
      <c r="G309" s="17"/>
      <c r="H309" s="17"/>
      <c r="I309" s="17"/>
      <c r="J309" s="18" t="str">
        <f t="shared" si="8"/>
        <v/>
      </c>
      <c r="K309" s="11">
        <f t="shared" si="9"/>
        <v>0</v>
      </c>
      <c r="L309" s="8"/>
    </row>
    <row r="310" spans="1:12" x14ac:dyDescent="0.3">
      <c r="A310" s="9"/>
      <c r="B310" s="17"/>
      <c r="C310" s="17"/>
      <c r="D310" s="17"/>
      <c r="E310" s="17"/>
      <c r="F310" s="17"/>
      <c r="G310" s="17"/>
      <c r="H310" s="17"/>
      <c r="I310" s="17"/>
      <c r="J310" s="18" t="str">
        <f t="shared" si="8"/>
        <v/>
      </c>
      <c r="K310" s="11">
        <f t="shared" si="9"/>
        <v>0</v>
      </c>
      <c r="L310" s="8"/>
    </row>
    <row r="311" spans="1:12" x14ac:dyDescent="0.3">
      <c r="A311" s="9"/>
      <c r="B311" s="17"/>
      <c r="C311" s="17"/>
      <c r="D311" s="17"/>
      <c r="E311" s="17"/>
      <c r="F311" s="17"/>
      <c r="G311" s="17"/>
      <c r="H311" s="17"/>
      <c r="I311" s="17"/>
      <c r="J311" s="18" t="str">
        <f t="shared" si="8"/>
        <v/>
      </c>
      <c r="K311" s="11">
        <f t="shared" si="9"/>
        <v>0</v>
      </c>
      <c r="L311" s="8"/>
    </row>
    <row r="312" spans="1:12" x14ac:dyDescent="0.3">
      <c r="A312" s="9"/>
      <c r="B312" s="17"/>
      <c r="C312" s="17"/>
      <c r="D312" s="17"/>
      <c r="E312" s="17"/>
      <c r="F312" s="17"/>
      <c r="G312" s="17"/>
      <c r="H312" s="17"/>
      <c r="I312" s="17"/>
      <c r="J312" s="18" t="str">
        <f t="shared" si="8"/>
        <v/>
      </c>
      <c r="K312" s="11">
        <f t="shared" si="9"/>
        <v>0</v>
      </c>
      <c r="L312" s="8"/>
    </row>
    <row r="313" spans="1:12" x14ac:dyDescent="0.3">
      <c r="A313" s="9"/>
      <c r="B313" s="17"/>
      <c r="C313" s="17"/>
      <c r="D313" s="17"/>
      <c r="E313" s="17"/>
      <c r="F313" s="17"/>
      <c r="G313" s="17"/>
      <c r="H313" s="17"/>
      <c r="I313" s="17"/>
      <c r="J313" s="18" t="str">
        <f t="shared" si="8"/>
        <v/>
      </c>
      <c r="K313" s="11">
        <f t="shared" si="9"/>
        <v>0</v>
      </c>
      <c r="L313" s="8"/>
    </row>
    <row r="314" spans="1:12" x14ac:dyDescent="0.3">
      <c r="A314" s="9"/>
      <c r="B314" s="17"/>
      <c r="C314" s="17"/>
      <c r="D314" s="17"/>
      <c r="E314" s="17"/>
      <c r="F314" s="17"/>
      <c r="G314" s="17"/>
      <c r="H314" s="17"/>
      <c r="I314" s="17"/>
      <c r="J314" s="18" t="str">
        <f t="shared" si="8"/>
        <v/>
      </c>
      <c r="K314" s="11">
        <f t="shared" si="9"/>
        <v>0</v>
      </c>
      <c r="L314" s="8"/>
    </row>
    <row r="315" spans="1:12" x14ac:dyDescent="0.3">
      <c r="A315" s="9"/>
      <c r="B315" s="17"/>
      <c r="C315" s="17"/>
      <c r="D315" s="17"/>
      <c r="E315" s="17"/>
      <c r="F315" s="17"/>
      <c r="G315" s="17"/>
      <c r="H315" s="17"/>
      <c r="I315" s="17"/>
      <c r="J315" s="18" t="str">
        <f t="shared" si="8"/>
        <v/>
      </c>
      <c r="K315" s="11">
        <f t="shared" si="9"/>
        <v>0</v>
      </c>
      <c r="L315" s="8"/>
    </row>
    <row r="316" spans="1:12" x14ac:dyDescent="0.3">
      <c r="A316" s="9"/>
      <c r="B316" s="17"/>
      <c r="C316" s="17"/>
      <c r="D316" s="17"/>
      <c r="E316" s="17"/>
      <c r="F316" s="17"/>
      <c r="G316" s="17"/>
      <c r="H316" s="17"/>
      <c r="I316" s="17"/>
      <c r="J316" s="18" t="str">
        <f t="shared" si="8"/>
        <v/>
      </c>
      <c r="K316" s="11">
        <f t="shared" si="9"/>
        <v>0</v>
      </c>
      <c r="L316" s="8"/>
    </row>
    <row r="317" spans="1:12" x14ac:dyDescent="0.3">
      <c r="A317" s="9"/>
      <c r="B317" s="17"/>
      <c r="C317" s="17"/>
      <c r="D317" s="17"/>
      <c r="E317" s="17"/>
      <c r="F317" s="17"/>
      <c r="G317" s="17"/>
      <c r="H317" s="17"/>
      <c r="I317" s="17"/>
      <c r="J317" s="18" t="str">
        <f t="shared" si="8"/>
        <v/>
      </c>
      <c r="K317" s="11">
        <f t="shared" si="9"/>
        <v>0</v>
      </c>
      <c r="L317" s="8"/>
    </row>
    <row r="318" spans="1:12" x14ac:dyDescent="0.3">
      <c r="A318" s="9"/>
      <c r="B318" s="17"/>
      <c r="C318" s="17"/>
      <c r="D318" s="17"/>
      <c r="E318" s="17"/>
      <c r="F318" s="17"/>
      <c r="G318" s="17"/>
      <c r="H318" s="17"/>
      <c r="I318" s="17"/>
      <c r="J318" s="18" t="str">
        <f t="shared" si="8"/>
        <v/>
      </c>
      <c r="K318" s="11">
        <f t="shared" si="9"/>
        <v>0</v>
      </c>
      <c r="L318" s="8"/>
    </row>
    <row r="319" spans="1:12" x14ac:dyDescent="0.3">
      <c r="A319" s="9"/>
      <c r="B319" s="17"/>
      <c r="C319" s="17"/>
      <c r="D319" s="17"/>
      <c r="E319" s="17"/>
      <c r="F319" s="17"/>
      <c r="G319" s="17"/>
      <c r="H319" s="17"/>
      <c r="I319" s="17"/>
      <c r="J319" s="18" t="str">
        <f t="shared" si="8"/>
        <v/>
      </c>
      <c r="K319" s="11">
        <f t="shared" si="9"/>
        <v>0</v>
      </c>
      <c r="L319" s="8"/>
    </row>
    <row r="320" spans="1:12" x14ac:dyDescent="0.3">
      <c r="A320" s="9"/>
      <c r="B320" s="17"/>
      <c r="C320" s="17"/>
      <c r="D320" s="17"/>
      <c r="E320" s="17"/>
      <c r="F320" s="17"/>
      <c r="G320" s="17"/>
      <c r="H320" s="17"/>
      <c r="I320" s="17"/>
      <c r="J320" s="18" t="str">
        <f t="shared" si="8"/>
        <v/>
      </c>
      <c r="K320" s="11">
        <f t="shared" si="9"/>
        <v>0</v>
      </c>
      <c r="L320" s="8"/>
    </row>
    <row r="321" spans="1:12" x14ac:dyDescent="0.3">
      <c r="A321" s="9"/>
      <c r="B321" s="17"/>
      <c r="C321" s="17"/>
      <c r="D321" s="17"/>
      <c r="E321" s="17"/>
      <c r="F321" s="17"/>
      <c r="G321" s="17"/>
      <c r="H321" s="17"/>
      <c r="I321" s="17"/>
      <c r="J321" s="18" t="str">
        <f t="shared" si="8"/>
        <v/>
      </c>
      <c r="K321" s="11">
        <f t="shared" si="9"/>
        <v>0</v>
      </c>
      <c r="L321" s="8"/>
    </row>
    <row r="322" spans="1:12" x14ac:dyDescent="0.3">
      <c r="A322" s="9"/>
      <c r="B322" s="17"/>
      <c r="C322" s="17"/>
      <c r="D322" s="17"/>
      <c r="E322" s="17"/>
      <c r="F322" s="17"/>
      <c r="G322" s="17"/>
      <c r="H322" s="17"/>
      <c r="I322" s="17"/>
      <c r="J322" s="18" t="str">
        <f t="shared" si="8"/>
        <v/>
      </c>
      <c r="K322" s="11">
        <f t="shared" si="9"/>
        <v>0</v>
      </c>
      <c r="L322" s="8"/>
    </row>
    <row r="323" spans="1:12" x14ac:dyDescent="0.3">
      <c r="A323" s="9"/>
      <c r="B323" s="17"/>
      <c r="C323" s="17"/>
      <c r="D323" s="17"/>
      <c r="E323" s="17"/>
      <c r="F323" s="17"/>
      <c r="G323" s="17"/>
      <c r="H323" s="17"/>
      <c r="I323" s="17"/>
      <c r="J323" s="18" t="str">
        <f t="shared" si="8"/>
        <v/>
      </c>
      <c r="K323" s="11">
        <f t="shared" si="9"/>
        <v>0</v>
      </c>
      <c r="L323" s="8"/>
    </row>
    <row r="324" spans="1:12" x14ac:dyDescent="0.3">
      <c r="A324" s="9"/>
      <c r="B324" s="17"/>
      <c r="C324" s="17"/>
      <c r="D324" s="17"/>
      <c r="E324" s="17"/>
      <c r="F324" s="17"/>
      <c r="G324" s="17"/>
      <c r="H324" s="17"/>
      <c r="I324" s="17"/>
      <c r="J324" s="18" t="str">
        <f t="shared" si="8"/>
        <v/>
      </c>
      <c r="K324" s="11">
        <f t="shared" si="9"/>
        <v>0</v>
      </c>
      <c r="L324" s="8"/>
    </row>
    <row r="325" spans="1:12" x14ac:dyDescent="0.3">
      <c r="A325" s="9"/>
      <c r="B325" s="17"/>
      <c r="C325" s="17"/>
      <c r="D325" s="17"/>
      <c r="E325" s="17"/>
      <c r="F325" s="17"/>
      <c r="G325" s="17"/>
      <c r="H325" s="17"/>
      <c r="I325" s="17"/>
      <c r="J325" s="18" t="str">
        <f t="shared" ref="J325:J388" si="10">IF(OR(I325="",B325=""),"",I325-B325)</f>
        <v/>
      </c>
      <c r="K325" s="11">
        <f t="shared" ref="K325:K388" si="11">IFERROR(J325/B325,0)</f>
        <v>0</v>
      </c>
      <c r="L325" s="8"/>
    </row>
    <row r="326" spans="1:12" x14ac:dyDescent="0.3">
      <c r="A326" s="9"/>
      <c r="B326" s="17"/>
      <c r="C326" s="17"/>
      <c r="D326" s="17"/>
      <c r="E326" s="17"/>
      <c r="F326" s="17"/>
      <c r="G326" s="17"/>
      <c r="H326" s="17"/>
      <c r="I326" s="17"/>
      <c r="J326" s="18" t="str">
        <f t="shared" si="10"/>
        <v/>
      </c>
      <c r="K326" s="11">
        <f t="shared" si="11"/>
        <v>0</v>
      </c>
      <c r="L326" s="8"/>
    </row>
    <row r="327" spans="1:12" x14ac:dyDescent="0.3">
      <c r="A327" s="9"/>
      <c r="B327" s="17"/>
      <c r="C327" s="17"/>
      <c r="D327" s="17"/>
      <c r="E327" s="17"/>
      <c r="F327" s="17"/>
      <c r="G327" s="17"/>
      <c r="H327" s="17"/>
      <c r="I327" s="17"/>
      <c r="J327" s="18" t="str">
        <f t="shared" si="10"/>
        <v/>
      </c>
      <c r="K327" s="11">
        <f t="shared" si="11"/>
        <v>0</v>
      </c>
      <c r="L327" s="8"/>
    </row>
    <row r="328" spans="1:12" x14ac:dyDescent="0.3">
      <c r="A328" s="9"/>
      <c r="B328" s="17"/>
      <c r="C328" s="17"/>
      <c r="D328" s="17"/>
      <c r="E328" s="17"/>
      <c r="F328" s="17"/>
      <c r="G328" s="17"/>
      <c r="H328" s="17"/>
      <c r="I328" s="17"/>
      <c r="J328" s="18" t="str">
        <f t="shared" si="10"/>
        <v/>
      </c>
      <c r="K328" s="11">
        <f t="shared" si="11"/>
        <v>0</v>
      </c>
      <c r="L328" s="8"/>
    </row>
    <row r="329" spans="1:12" x14ac:dyDescent="0.3">
      <c r="A329" s="9"/>
      <c r="B329" s="17"/>
      <c r="C329" s="17"/>
      <c r="D329" s="17"/>
      <c r="E329" s="17"/>
      <c r="F329" s="17"/>
      <c r="G329" s="17"/>
      <c r="H329" s="17"/>
      <c r="I329" s="17"/>
      <c r="J329" s="18" t="str">
        <f t="shared" si="10"/>
        <v/>
      </c>
      <c r="K329" s="11">
        <f t="shared" si="11"/>
        <v>0</v>
      </c>
      <c r="L329" s="8"/>
    </row>
    <row r="330" spans="1:12" x14ac:dyDescent="0.3">
      <c r="A330" s="9"/>
      <c r="B330" s="17"/>
      <c r="C330" s="17"/>
      <c r="D330" s="17"/>
      <c r="E330" s="17"/>
      <c r="F330" s="17"/>
      <c r="G330" s="17"/>
      <c r="H330" s="17"/>
      <c r="I330" s="17"/>
      <c r="J330" s="18" t="str">
        <f t="shared" si="10"/>
        <v/>
      </c>
      <c r="K330" s="11">
        <f t="shared" si="11"/>
        <v>0</v>
      </c>
      <c r="L330" s="8"/>
    </row>
    <row r="331" spans="1:12" x14ac:dyDescent="0.3">
      <c r="A331" s="9"/>
      <c r="B331" s="17"/>
      <c r="C331" s="17"/>
      <c r="D331" s="17"/>
      <c r="E331" s="17"/>
      <c r="F331" s="17"/>
      <c r="G331" s="17"/>
      <c r="H331" s="17"/>
      <c r="I331" s="17"/>
      <c r="J331" s="18" t="str">
        <f t="shared" si="10"/>
        <v/>
      </c>
      <c r="K331" s="11">
        <f t="shared" si="11"/>
        <v>0</v>
      </c>
      <c r="L331" s="8"/>
    </row>
    <row r="332" spans="1:12" x14ac:dyDescent="0.3">
      <c r="A332" s="9"/>
      <c r="B332" s="17"/>
      <c r="C332" s="17"/>
      <c r="D332" s="17"/>
      <c r="E332" s="17"/>
      <c r="F332" s="17"/>
      <c r="G332" s="17"/>
      <c r="H332" s="17"/>
      <c r="I332" s="17"/>
      <c r="J332" s="18" t="str">
        <f t="shared" si="10"/>
        <v/>
      </c>
      <c r="K332" s="11">
        <f t="shared" si="11"/>
        <v>0</v>
      </c>
      <c r="L332" s="8"/>
    </row>
    <row r="333" spans="1:12" x14ac:dyDescent="0.3">
      <c r="A333" s="9"/>
      <c r="B333" s="17"/>
      <c r="C333" s="17"/>
      <c r="D333" s="17"/>
      <c r="E333" s="17"/>
      <c r="F333" s="17"/>
      <c r="G333" s="17"/>
      <c r="H333" s="17"/>
      <c r="I333" s="17"/>
      <c r="J333" s="18" t="str">
        <f t="shared" si="10"/>
        <v/>
      </c>
      <c r="K333" s="11">
        <f t="shared" si="11"/>
        <v>0</v>
      </c>
      <c r="L333" s="8"/>
    </row>
    <row r="334" spans="1:12" x14ac:dyDescent="0.3">
      <c r="A334" s="9"/>
      <c r="B334" s="17"/>
      <c r="C334" s="17"/>
      <c r="D334" s="17"/>
      <c r="E334" s="17"/>
      <c r="F334" s="17"/>
      <c r="G334" s="17"/>
      <c r="H334" s="17"/>
      <c r="I334" s="17"/>
      <c r="J334" s="18" t="str">
        <f t="shared" si="10"/>
        <v/>
      </c>
      <c r="K334" s="11">
        <f t="shared" si="11"/>
        <v>0</v>
      </c>
      <c r="L334" s="8"/>
    </row>
    <row r="335" spans="1:12" x14ac:dyDescent="0.3">
      <c r="A335" s="9"/>
      <c r="B335" s="17"/>
      <c r="C335" s="17"/>
      <c r="D335" s="17"/>
      <c r="E335" s="17"/>
      <c r="F335" s="17"/>
      <c r="G335" s="17"/>
      <c r="H335" s="17"/>
      <c r="I335" s="17"/>
      <c r="J335" s="18" t="str">
        <f t="shared" si="10"/>
        <v/>
      </c>
      <c r="K335" s="11">
        <f t="shared" si="11"/>
        <v>0</v>
      </c>
      <c r="L335" s="8"/>
    </row>
    <row r="336" spans="1:12" x14ac:dyDescent="0.3">
      <c r="A336" s="9"/>
      <c r="B336" s="17"/>
      <c r="C336" s="17"/>
      <c r="D336" s="17"/>
      <c r="E336" s="17"/>
      <c r="F336" s="17"/>
      <c r="G336" s="17"/>
      <c r="H336" s="17"/>
      <c r="I336" s="17"/>
      <c r="J336" s="18" t="str">
        <f t="shared" si="10"/>
        <v/>
      </c>
      <c r="K336" s="11">
        <f t="shared" si="11"/>
        <v>0</v>
      </c>
      <c r="L336" s="8"/>
    </row>
    <row r="337" spans="1:12" x14ac:dyDescent="0.3">
      <c r="A337" s="9"/>
      <c r="B337" s="17"/>
      <c r="C337" s="17"/>
      <c r="D337" s="17"/>
      <c r="E337" s="17"/>
      <c r="F337" s="17"/>
      <c r="G337" s="17"/>
      <c r="H337" s="17"/>
      <c r="I337" s="17"/>
      <c r="J337" s="18" t="str">
        <f t="shared" si="10"/>
        <v/>
      </c>
      <c r="K337" s="11">
        <f t="shared" si="11"/>
        <v>0</v>
      </c>
      <c r="L337" s="8"/>
    </row>
    <row r="338" spans="1:12" x14ac:dyDescent="0.3">
      <c r="A338" s="9"/>
      <c r="B338" s="17"/>
      <c r="C338" s="17"/>
      <c r="D338" s="17"/>
      <c r="E338" s="17"/>
      <c r="F338" s="17"/>
      <c r="G338" s="17"/>
      <c r="H338" s="17"/>
      <c r="I338" s="17"/>
      <c r="J338" s="18" t="str">
        <f t="shared" si="10"/>
        <v/>
      </c>
      <c r="K338" s="11">
        <f t="shared" si="11"/>
        <v>0</v>
      </c>
      <c r="L338" s="8"/>
    </row>
    <row r="339" spans="1:12" x14ac:dyDescent="0.3">
      <c r="A339" s="9"/>
      <c r="B339" s="17"/>
      <c r="C339" s="17"/>
      <c r="D339" s="17"/>
      <c r="E339" s="17"/>
      <c r="F339" s="17"/>
      <c r="G339" s="17"/>
      <c r="H339" s="17"/>
      <c r="I339" s="17"/>
      <c r="J339" s="18" t="str">
        <f t="shared" si="10"/>
        <v/>
      </c>
      <c r="K339" s="11">
        <f t="shared" si="11"/>
        <v>0</v>
      </c>
      <c r="L339" s="8"/>
    </row>
    <row r="340" spans="1:12" x14ac:dyDescent="0.3">
      <c r="A340" s="9"/>
      <c r="B340" s="17"/>
      <c r="C340" s="17"/>
      <c r="D340" s="17"/>
      <c r="E340" s="17"/>
      <c r="F340" s="17"/>
      <c r="G340" s="17"/>
      <c r="H340" s="17"/>
      <c r="I340" s="17"/>
      <c r="J340" s="18" t="str">
        <f t="shared" si="10"/>
        <v/>
      </c>
      <c r="K340" s="11">
        <f t="shared" si="11"/>
        <v>0</v>
      </c>
      <c r="L340" s="8"/>
    </row>
    <row r="341" spans="1:12" x14ac:dyDescent="0.3">
      <c r="A341" s="9"/>
      <c r="B341" s="17"/>
      <c r="C341" s="17"/>
      <c r="D341" s="17"/>
      <c r="E341" s="17"/>
      <c r="F341" s="17"/>
      <c r="G341" s="17"/>
      <c r="H341" s="17"/>
      <c r="I341" s="17"/>
      <c r="J341" s="18" t="str">
        <f t="shared" si="10"/>
        <v/>
      </c>
      <c r="K341" s="11">
        <f t="shared" si="11"/>
        <v>0</v>
      </c>
      <c r="L341" s="8"/>
    </row>
    <row r="342" spans="1:12" x14ac:dyDescent="0.3">
      <c r="A342" s="9"/>
      <c r="B342" s="17"/>
      <c r="C342" s="17"/>
      <c r="D342" s="17"/>
      <c r="E342" s="17"/>
      <c r="F342" s="17"/>
      <c r="G342" s="17"/>
      <c r="H342" s="17"/>
      <c r="I342" s="17"/>
      <c r="J342" s="18" t="str">
        <f t="shared" si="10"/>
        <v/>
      </c>
      <c r="K342" s="11">
        <f t="shared" si="11"/>
        <v>0</v>
      </c>
      <c r="L342" s="8"/>
    </row>
    <row r="343" spans="1:12" x14ac:dyDescent="0.3">
      <c r="A343" s="9"/>
      <c r="B343" s="17"/>
      <c r="C343" s="17"/>
      <c r="D343" s="17"/>
      <c r="E343" s="17"/>
      <c r="F343" s="17"/>
      <c r="G343" s="17"/>
      <c r="H343" s="17"/>
      <c r="I343" s="17"/>
      <c r="J343" s="18" t="str">
        <f t="shared" si="10"/>
        <v/>
      </c>
      <c r="K343" s="11">
        <f t="shared" si="11"/>
        <v>0</v>
      </c>
      <c r="L343" s="8"/>
    </row>
    <row r="344" spans="1:12" x14ac:dyDescent="0.3">
      <c r="A344" s="9"/>
      <c r="B344" s="17"/>
      <c r="C344" s="17"/>
      <c r="D344" s="17"/>
      <c r="E344" s="17"/>
      <c r="F344" s="17"/>
      <c r="G344" s="17"/>
      <c r="H344" s="17"/>
      <c r="I344" s="17"/>
      <c r="J344" s="18" t="str">
        <f t="shared" si="10"/>
        <v/>
      </c>
      <c r="K344" s="11">
        <f t="shared" si="11"/>
        <v>0</v>
      </c>
      <c r="L344" s="8"/>
    </row>
    <row r="345" spans="1:12" x14ac:dyDescent="0.3">
      <c r="A345" s="9"/>
      <c r="B345" s="17"/>
      <c r="C345" s="17"/>
      <c r="D345" s="17"/>
      <c r="E345" s="17"/>
      <c r="F345" s="17"/>
      <c r="G345" s="17"/>
      <c r="H345" s="17"/>
      <c r="I345" s="17"/>
      <c r="J345" s="18" t="str">
        <f t="shared" si="10"/>
        <v/>
      </c>
      <c r="K345" s="11">
        <f t="shared" si="11"/>
        <v>0</v>
      </c>
      <c r="L345" s="8"/>
    </row>
    <row r="346" spans="1:12" x14ac:dyDescent="0.3">
      <c r="A346" s="9"/>
      <c r="B346" s="17"/>
      <c r="C346" s="17"/>
      <c r="D346" s="17"/>
      <c r="E346" s="17"/>
      <c r="F346" s="17"/>
      <c r="G346" s="17"/>
      <c r="H346" s="17"/>
      <c r="I346" s="17"/>
      <c r="J346" s="18" t="str">
        <f t="shared" si="10"/>
        <v/>
      </c>
      <c r="K346" s="11">
        <f t="shared" si="11"/>
        <v>0</v>
      </c>
      <c r="L346" s="8"/>
    </row>
    <row r="347" spans="1:12" x14ac:dyDescent="0.3">
      <c r="A347" s="9"/>
      <c r="B347" s="17"/>
      <c r="C347" s="17"/>
      <c r="D347" s="17"/>
      <c r="E347" s="17"/>
      <c r="F347" s="17"/>
      <c r="G347" s="17"/>
      <c r="H347" s="17"/>
      <c r="I347" s="17"/>
      <c r="J347" s="18" t="str">
        <f t="shared" si="10"/>
        <v/>
      </c>
      <c r="K347" s="11">
        <f t="shared" si="11"/>
        <v>0</v>
      </c>
      <c r="L347" s="8"/>
    </row>
    <row r="348" spans="1:12" x14ac:dyDescent="0.3">
      <c r="A348" s="9"/>
      <c r="B348" s="17"/>
      <c r="C348" s="17"/>
      <c r="D348" s="17"/>
      <c r="E348" s="17"/>
      <c r="F348" s="17"/>
      <c r="G348" s="17"/>
      <c r="H348" s="17"/>
      <c r="I348" s="17"/>
      <c r="J348" s="18" t="str">
        <f t="shared" si="10"/>
        <v/>
      </c>
      <c r="K348" s="11">
        <f t="shared" si="11"/>
        <v>0</v>
      </c>
      <c r="L348" s="8"/>
    </row>
    <row r="349" spans="1:12" x14ac:dyDescent="0.3">
      <c r="A349" s="9"/>
      <c r="B349" s="17"/>
      <c r="C349" s="17"/>
      <c r="D349" s="17"/>
      <c r="E349" s="17"/>
      <c r="F349" s="17"/>
      <c r="G349" s="17"/>
      <c r="H349" s="17"/>
      <c r="I349" s="17"/>
      <c r="J349" s="18" t="str">
        <f t="shared" si="10"/>
        <v/>
      </c>
      <c r="K349" s="11">
        <f t="shared" si="11"/>
        <v>0</v>
      </c>
      <c r="L349" s="8"/>
    </row>
    <row r="350" spans="1:12" x14ac:dyDescent="0.3">
      <c r="A350" s="9"/>
      <c r="B350" s="17"/>
      <c r="C350" s="17"/>
      <c r="D350" s="17"/>
      <c r="E350" s="17"/>
      <c r="F350" s="17"/>
      <c r="G350" s="17"/>
      <c r="H350" s="17"/>
      <c r="I350" s="17"/>
      <c r="J350" s="18" t="str">
        <f t="shared" si="10"/>
        <v/>
      </c>
      <c r="K350" s="11">
        <f t="shared" si="11"/>
        <v>0</v>
      </c>
      <c r="L350" s="8"/>
    </row>
    <row r="351" spans="1:12" x14ac:dyDescent="0.3">
      <c r="A351" s="9"/>
      <c r="B351" s="17"/>
      <c r="C351" s="17"/>
      <c r="D351" s="17"/>
      <c r="E351" s="17"/>
      <c r="F351" s="17"/>
      <c r="G351" s="17"/>
      <c r="H351" s="17"/>
      <c r="I351" s="17"/>
      <c r="J351" s="18" t="str">
        <f t="shared" si="10"/>
        <v/>
      </c>
      <c r="K351" s="11">
        <f t="shared" si="11"/>
        <v>0</v>
      </c>
      <c r="L351" s="8"/>
    </row>
    <row r="352" spans="1:12" x14ac:dyDescent="0.3">
      <c r="A352" s="9"/>
      <c r="B352" s="17"/>
      <c r="C352" s="17"/>
      <c r="D352" s="17"/>
      <c r="E352" s="17"/>
      <c r="F352" s="17"/>
      <c r="G352" s="17"/>
      <c r="H352" s="17"/>
      <c r="I352" s="17"/>
      <c r="J352" s="18" t="str">
        <f t="shared" si="10"/>
        <v/>
      </c>
      <c r="K352" s="11">
        <f t="shared" si="11"/>
        <v>0</v>
      </c>
      <c r="L352" s="8"/>
    </row>
    <row r="353" spans="1:12" x14ac:dyDescent="0.3">
      <c r="A353" s="9"/>
      <c r="B353" s="17"/>
      <c r="C353" s="17"/>
      <c r="D353" s="17"/>
      <c r="E353" s="17"/>
      <c r="F353" s="17"/>
      <c r="G353" s="17"/>
      <c r="H353" s="17"/>
      <c r="I353" s="17"/>
      <c r="J353" s="18" t="str">
        <f t="shared" si="10"/>
        <v/>
      </c>
      <c r="K353" s="11">
        <f t="shared" si="11"/>
        <v>0</v>
      </c>
      <c r="L353" s="8"/>
    </row>
    <row r="354" spans="1:12" x14ac:dyDescent="0.3">
      <c r="A354" s="9"/>
      <c r="B354" s="17"/>
      <c r="C354" s="17"/>
      <c r="D354" s="17"/>
      <c r="E354" s="17"/>
      <c r="F354" s="17"/>
      <c r="G354" s="17"/>
      <c r="H354" s="17"/>
      <c r="I354" s="17"/>
      <c r="J354" s="18" t="str">
        <f t="shared" si="10"/>
        <v/>
      </c>
      <c r="K354" s="11">
        <f t="shared" si="11"/>
        <v>0</v>
      </c>
      <c r="L354" s="8"/>
    </row>
    <row r="355" spans="1:12" x14ac:dyDescent="0.3">
      <c r="A355" s="9"/>
      <c r="B355" s="17"/>
      <c r="C355" s="17"/>
      <c r="D355" s="17"/>
      <c r="E355" s="17"/>
      <c r="F355" s="17"/>
      <c r="G355" s="17"/>
      <c r="H355" s="17"/>
      <c r="I355" s="17"/>
      <c r="J355" s="18" t="str">
        <f t="shared" si="10"/>
        <v/>
      </c>
      <c r="K355" s="11">
        <f t="shared" si="11"/>
        <v>0</v>
      </c>
      <c r="L355" s="8"/>
    </row>
    <row r="356" spans="1:12" x14ac:dyDescent="0.3">
      <c r="A356" s="9"/>
      <c r="B356" s="17"/>
      <c r="C356" s="17"/>
      <c r="D356" s="17"/>
      <c r="E356" s="17"/>
      <c r="F356" s="17"/>
      <c r="G356" s="17"/>
      <c r="H356" s="17"/>
      <c r="I356" s="17"/>
      <c r="J356" s="18" t="str">
        <f t="shared" si="10"/>
        <v/>
      </c>
      <c r="K356" s="11">
        <f t="shared" si="11"/>
        <v>0</v>
      </c>
      <c r="L356" s="8"/>
    </row>
    <row r="357" spans="1:12" x14ac:dyDescent="0.3">
      <c r="A357" s="9"/>
      <c r="B357" s="17"/>
      <c r="C357" s="17"/>
      <c r="D357" s="17"/>
      <c r="E357" s="17"/>
      <c r="F357" s="17"/>
      <c r="G357" s="17"/>
      <c r="H357" s="17"/>
      <c r="I357" s="17"/>
      <c r="J357" s="18" t="str">
        <f t="shared" si="10"/>
        <v/>
      </c>
      <c r="K357" s="11">
        <f t="shared" si="11"/>
        <v>0</v>
      </c>
      <c r="L357" s="8"/>
    </row>
    <row r="358" spans="1:12" x14ac:dyDescent="0.3">
      <c r="A358" s="9"/>
      <c r="B358" s="17"/>
      <c r="C358" s="17"/>
      <c r="D358" s="17"/>
      <c r="E358" s="17"/>
      <c r="F358" s="17"/>
      <c r="G358" s="17"/>
      <c r="H358" s="17"/>
      <c r="I358" s="17"/>
      <c r="J358" s="18" t="str">
        <f t="shared" si="10"/>
        <v/>
      </c>
      <c r="K358" s="11">
        <f t="shared" si="11"/>
        <v>0</v>
      </c>
      <c r="L358" s="8"/>
    </row>
    <row r="359" spans="1:12" x14ac:dyDescent="0.3">
      <c r="A359" s="9"/>
      <c r="B359" s="17"/>
      <c r="C359" s="17"/>
      <c r="D359" s="17"/>
      <c r="E359" s="17"/>
      <c r="F359" s="17"/>
      <c r="G359" s="17"/>
      <c r="H359" s="17"/>
      <c r="I359" s="17"/>
      <c r="J359" s="18" t="str">
        <f t="shared" si="10"/>
        <v/>
      </c>
      <c r="K359" s="11">
        <f t="shared" si="11"/>
        <v>0</v>
      </c>
      <c r="L359" s="8"/>
    </row>
    <row r="360" spans="1:12" x14ac:dyDescent="0.3">
      <c r="A360" s="9"/>
      <c r="B360" s="17"/>
      <c r="C360" s="17"/>
      <c r="D360" s="17"/>
      <c r="E360" s="17"/>
      <c r="F360" s="17"/>
      <c r="G360" s="17"/>
      <c r="H360" s="17"/>
      <c r="I360" s="17"/>
      <c r="J360" s="18" t="str">
        <f t="shared" si="10"/>
        <v/>
      </c>
      <c r="K360" s="11">
        <f t="shared" si="11"/>
        <v>0</v>
      </c>
      <c r="L360" s="8"/>
    </row>
    <row r="361" spans="1:12" x14ac:dyDescent="0.3">
      <c r="A361" s="9"/>
      <c r="B361" s="17"/>
      <c r="C361" s="17"/>
      <c r="D361" s="17"/>
      <c r="E361" s="17"/>
      <c r="F361" s="17"/>
      <c r="G361" s="17"/>
      <c r="H361" s="17"/>
      <c r="I361" s="17"/>
      <c r="J361" s="18" t="str">
        <f t="shared" si="10"/>
        <v/>
      </c>
      <c r="K361" s="11">
        <f t="shared" si="11"/>
        <v>0</v>
      </c>
      <c r="L361" s="8"/>
    </row>
    <row r="362" spans="1:12" x14ac:dyDescent="0.3">
      <c r="A362" s="9"/>
      <c r="B362" s="17"/>
      <c r="C362" s="17"/>
      <c r="D362" s="17"/>
      <c r="E362" s="17"/>
      <c r="F362" s="17"/>
      <c r="G362" s="17"/>
      <c r="H362" s="17"/>
      <c r="I362" s="17"/>
      <c r="J362" s="18" t="str">
        <f t="shared" si="10"/>
        <v/>
      </c>
      <c r="K362" s="11">
        <f t="shared" si="11"/>
        <v>0</v>
      </c>
      <c r="L362" s="8"/>
    </row>
    <row r="363" spans="1:12" x14ac:dyDescent="0.3">
      <c r="A363" s="9"/>
      <c r="B363" s="17"/>
      <c r="C363" s="17"/>
      <c r="D363" s="17"/>
      <c r="E363" s="17"/>
      <c r="F363" s="17"/>
      <c r="G363" s="17"/>
      <c r="H363" s="17"/>
      <c r="I363" s="17"/>
      <c r="J363" s="18" t="str">
        <f t="shared" si="10"/>
        <v/>
      </c>
      <c r="K363" s="11">
        <f t="shared" si="11"/>
        <v>0</v>
      </c>
      <c r="L363" s="8"/>
    </row>
    <row r="364" spans="1:12" x14ac:dyDescent="0.3">
      <c r="A364" s="9"/>
      <c r="B364" s="17"/>
      <c r="C364" s="17"/>
      <c r="D364" s="17"/>
      <c r="E364" s="17"/>
      <c r="F364" s="17"/>
      <c r="G364" s="17"/>
      <c r="H364" s="17"/>
      <c r="I364" s="17"/>
      <c r="J364" s="18" t="str">
        <f t="shared" si="10"/>
        <v/>
      </c>
      <c r="K364" s="11">
        <f t="shared" si="11"/>
        <v>0</v>
      </c>
      <c r="L364" s="8"/>
    </row>
    <row r="365" spans="1:12" x14ac:dyDescent="0.3">
      <c r="A365" s="9"/>
      <c r="B365" s="17"/>
      <c r="C365" s="17"/>
      <c r="D365" s="17"/>
      <c r="E365" s="17"/>
      <c r="F365" s="17"/>
      <c r="G365" s="17"/>
      <c r="H365" s="17"/>
      <c r="I365" s="17"/>
      <c r="J365" s="18" t="str">
        <f t="shared" si="10"/>
        <v/>
      </c>
      <c r="K365" s="11">
        <f t="shared" si="11"/>
        <v>0</v>
      </c>
      <c r="L365" s="8"/>
    </row>
    <row r="366" spans="1:12" x14ac:dyDescent="0.3">
      <c r="A366" s="9"/>
      <c r="B366" s="17"/>
      <c r="C366" s="17"/>
      <c r="D366" s="17"/>
      <c r="E366" s="17"/>
      <c r="F366" s="17"/>
      <c r="G366" s="17"/>
      <c r="H366" s="17"/>
      <c r="I366" s="17"/>
      <c r="J366" s="18" t="str">
        <f t="shared" si="10"/>
        <v/>
      </c>
      <c r="K366" s="11">
        <f t="shared" si="11"/>
        <v>0</v>
      </c>
      <c r="L366" s="8"/>
    </row>
    <row r="367" spans="1:12" x14ac:dyDescent="0.3">
      <c r="A367" s="9"/>
      <c r="B367" s="17"/>
      <c r="C367" s="17"/>
      <c r="D367" s="17"/>
      <c r="E367" s="17"/>
      <c r="F367" s="17"/>
      <c r="G367" s="17"/>
      <c r="H367" s="17"/>
      <c r="I367" s="17"/>
      <c r="J367" s="18" t="str">
        <f t="shared" si="10"/>
        <v/>
      </c>
      <c r="K367" s="11">
        <f t="shared" si="11"/>
        <v>0</v>
      </c>
      <c r="L367" s="8"/>
    </row>
    <row r="368" spans="1:12" x14ac:dyDescent="0.3">
      <c r="A368" s="9"/>
      <c r="B368" s="17"/>
      <c r="C368" s="17"/>
      <c r="D368" s="17"/>
      <c r="E368" s="17"/>
      <c r="F368" s="17"/>
      <c r="G368" s="17"/>
      <c r="H368" s="17"/>
      <c r="I368" s="17"/>
      <c r="J368" s="18" t="str">
        <f t="shared" si="10"/>
        <v/>
      </c>
      <c r="K368" s="11">
        <f t="shared" si="11"/>
        <v>0</v>
      </c>
      <c r="L368" s="8"/>
    </row>
    <row r="369" spans="1:12" x14ac:dyDescent="0.3">
      <c r="A369" s="9"/>
      <c r="B369" s="17"/>
      <c r="C369" s="17"/>
      <c r="D369" s="17"/>
      <c r="E369" s="17"/>
      <c r="F369" s="17"/>
      <c r="G369" s="17"/>
      <c r="H369" s="17"/>
      <c r="I369" s="17"/>
      <c r="J369" s="18" t="str">
        <f t="shared" si="10"/>
        <v/>
      </c>
      <c r="K369" s="11">
        <f t="shared" si="11"/>
        <v>0</v>
      </c>
      <c r="L369" s="8"/>
    </row>
    <row r="370" spans="1:12" x14ac:dyDescent="0.3">
      <c r="A370" s="9"/>
      <c r="B370" s="17"/>
      <c r="C370" s="17"/>
      <c r="D370" s="17"/>
      <c r="E370" s="17"/>
      <c r="F370" s="17"/>
      <c r="G370" s="17"/>
      <c r="H370" s="17"/>
      <c r="I370" s="17"/>
      <c r="J370" s="18" t="str">
        <f t="shared" si="10"/>
        <v/>
      </c>
      <c r="K370" s="11">
        <f t="shared" si="11"/>
        <v>0</v>
      </c>
      <c r="L370" s="8"/>
    </row>
    <row r="371" spans="1:12" x14ac:dyDescent="0.3">
      <c r="A371" s="9"/>
      <c r="B371" s="17"/>
      <c r="C371" s="17"/>
      <c r="D371" s="17"/>
      <c r="E371" s="17"/>
      <c r="F371" s="17"/>
      <c r="G371" s="17"/>
      <c r="H371" s="17"/>
      <c r="I371" s="17"/>
      <c r="J371" s="18" t="str">
        <f t="shared" si="10"/>
        <v/>
      </c>
      <c r="K371" s="11">
        <f t="shared" si="11"/>
        <v>0</v>
      </c>
      <c r="L371" s="8"/>
    </row>
    <row r="372" spans="1:12" x14ac:dyDescent="0.3">
      <c r="A372" s="9"/>
      <c r="B372" s="17"/>
      <c r="C372" s="17"/>
      <c r="D372" s="17"/>
      <c r="E372" s="17"/>
      <c r="F372" s="17"/>
      <c r="G372" s="17"/>
      <c r="H372" s="17"/>
      <c r="I372" s="17"/>
      <c r="J372" s="18" t="str">
        <f t="shared" si="10"/>
        <v/>
      </c>
      <c r="K372" s="11">
        <f t="shared" si="11"/>
        <v>0</v>
      </c>
      <c r="L372" s="8"/>
    </row>
    <row r="373" spans="1:12" x14ac:dyDescent="0.3">
      <c r="A373" s="9"/>
      <c r="B373" s="17"/>
      <c r="C373" s="17"/>
      <c r="D373" s="17"/>
      <c r="E373" s="17"/>
      <c r="F373" s="17"/>
      <c r="G373" s="17"/>
      <c r="H373" s="17"/>
      <c r="I373" s="17"/>
      <c r="J373" s="18" t="str">
        <f t="shared" si="10"/>
        <v/>
      </c>
      <c r="K373" s="11">
        <f t="shared" si="11"/>
        <v>0</v>
      </c>
      <c r="L373" s="8"/>
    </row>
    <row r="374" spans="1:12" x14ac:dyDescent="0.3">
      <c r="A374" s="9"/>
      <c r="B374" s="17"/>
      <c r="C374" s="17"/>
      <c r="D374" s="17"/>
      <c r="E374" s="17"/>
      <c r="F374" s="17"/>
      <c r="G374" s="17"/>
      <c r="H374" s="17"/>
      <c r="I374" s="17"/>
      <c r="J374" s="18" t="str">
        <f t="shared" si="10"/>
        <v/>
      </c>
      <c r="K374" s="11">
        <f t="shared" si="11"/>
        <v>0</v>
      </c>
      <c r="L374" s="8"/>
    </row>
    <row r="375" spans="1:12" x14ac:dyDescent="0.3">
      <c r="A375" s="9"/>
      <c r="B375" s="17"/>
      <c r="C375" s="17"/>
      <c r="D375" s="17"/>
      <c r="E375" s="17"/>
      <c r="F375" s="17"/>
      <c r="G375" s="17"/>
      <c r="H375" s="17"/>
      <c r="I375" s="17"/>
      <c r="J375" s="18" t="str">
        <f t="shared" si="10"/>
        <v/>
      </c>
      <c r="K375" s="11">
        <f t="shared" si="11"/>
        <v>0</v>
      </c>
      <c r="L375" s="8"/>
    </row>
    <row r="376" spans="1:12" x14ac:dyDescent="0.3">
      <c r="A376" s="9"/>
      <c r="B376" s="17"/>
      <c r="C376" s="17"/>
      <c r="D376" s="17"/>
      <c r="E376" s="17"/>
      <c r="F376" s="17"/>
      <c r="G376" s="17"/>
      <c r="H376" s="17"/>
      <c r="I376" s="17"/>
      <c r="J376" s="18" t="str">
        <f t="shared" si="10"/>
        <v/>
      </c>
      <c r="K376" s="11">
        <f t="shared" si="11"/>
        <v>0</v>
      </c>
      <c r="L376" s="8"/>
    </row>
    <row r="377" spans="1:12" x14ac:dyDescent="0.3">
      <c r="A377" s="9"/>
      <c r="B377" s="17"/>
      <c r="C377" s="17"/>
      <c r="D377" s="17"/>
      <c r="E377" s="17"/>
      <c r="F377" s="17"/>
      <c r="G377" s="17"/>
      <c r="H377" s="17"/>
      <c r="I377" s="17"/>
      <c r="J377" s="18" t="str">
        <f t="shared" si="10"/>
        <v/>
      </c>
      <c r="K377" s="11">
        <f t="shared" si="11"/>
        <v>0</v>
      </c>
      <c r="L377" s="8"/>
    </row>
    <row r="378" spans="1:12" x14ac:dyDescent="0.3">
      <c r="A378" s="9"/>
      <c r="B378" s="17"/>
      <c r="C378" s="17"/>
      <c r="D378" s="17"/>
      <c r="E378" s="17"/>
      <c r="F378" s="17"/>
      <c r="G378" s="17"/>
      <c r="H378" s="17"/>
      <c r="I378" s="17"/>
      <c r="J378" s="18" t="str">
        <f t="shared" si="10"/>
        <v/>
      </c>
      <c r="K378" s="11">
        <f t="shared" si="11"/>
        <v>0</v>
      </c>
      <c r="L378" s="8"/>
    </row>
    <row r="379" spans="1:12" x14ac:dyDescent="0.3">
      <c r="A379" s="9"/>
      <c r="B379" s="17"/>
      <c r="C379" s="17"/>
      <c r="D379" s="17"/>
      <c r="E379" s="17"/>
      <c r="F379" s="17"/>
      <c r="G379" s="17"/>
      <c r="H379" s="17"/>
      <c r="I379" s="17"/>
      <c r="J379" s="18" t="str">
        <f t="shared" si="10"/>
        <v/>
      </c>
      <c r="K379" s="11">
        <f t="shared" si="11"/>
        <v>0</v>
      </c>
      <c r="L379" s="8"/>
    </row>
    <row r="380" spans="1:12" x14ac:dyDescent="0.3">
      <c r="A380" s="9"/>
      <c r="B380" s="17"/>
      <c r="C380" s="17"/>
      <c r="D380" s="17"/>
      <c r="E380" s="17"/>
      <c r="F380" s="17"/>
      <c r="G380" s="17"/>
      <c r="H380" s="17"/>
      <c r="I380" s="17"/>
      <c r="J380" s="18" t="str">
        <f t="shared" si="10"/>
        <v/>
      </c>
      <c r="K380" s="11">
        <f t="shared" si="11"/>
        <v>0</v>
      </c>
      <c r="L380" s="8"/>
    </row>
    <row r="381" spans="1:12" x14ac:dyDescent="0.3">
      <c r="A381" s="9"/>
      <c r="B381" s="17"/>
      <c r="C381" s="17"/>
      <c r="D381" s="17"/>
      <c r="E381" s="17"/>
      <c r="F381" s="17"/>
      <c r="G381" s="17"/>
      <c r="H381" s="17"/>
      <c r="I381" s="17"/>
      <c r="J381" s="18" t="str">
        <f t="shared" si="10"/>
        <v/>
      </c>
      <c r="K381" s="11">
        <f t="shared" si="11"/>
        <v>0</v>
      </c>
      <c r="L381" s="8"/>
    </row>
    <row r="382" spans="1:12" x14ac:dyDescent="0.3">
      <c r="A382" s="9"/>
      <c r="B382" s="17"/>
      <c r="C382" s="17"/>
      <c r="D382" s="17"/>
      <c r="E382" s="17"/>
      <c r="F382" s="17"/>
      <c r="G382" s="17"/>
      <c r="H382" s="17"/>
      <c r="I382" s="17"/>
      <c r="J382" s="18" t="str">
        <f t="shared" si="10"/>
        <v/>
      </c>
      <c r="K382" s="11">
        <f t="shared" si="11"/>
        <v>0</v>
      </c>
      <c r="L382" s="8"/>
    </row>
    <row r="383" spans="1:12" x14ac:dyDescent="0.3">
      <c r="A383" s="9"/>
      <c r="B383" s="17"/>
      <c r="C383" s="17"/>
      <c r="D383" s="17"/>
      <c r="E383" s="17"/>
      <c r="F383" s="17"/>
      <c r="G383" s="17"/>
      <c r="H383" s="17"/>
      <c r="I383" s="17"/>
      <c r="J383" s="18" t="str">
        <f t="shared" si="10"/>
        <v/>
      </c>
      <c r="K383" s="11">
        <f t="shared" si="11"/>
        <v>0</v>
      </c>
      <c r="L383" s="8"/>
    </row>
    <row r="384" spans="1:12" x14ac:dyDescent="0.3">
      <c r="A384" s="9"/>
      <c r="B384" s="17"/>
      <c r="C384" s="17"/>
      <c r="D384" s="17"/>
      <c r="E384" s="17"/>
      <c r="F384" s="17"/>
      <c r="G384" s="17"/>
      <c r="H384" s="17"/>
      <c r="I384" s="17"/>
      <c r="J384" s="18" t="str">
        <f t="shared" si="10"/>
        <v/>
      </c>
      <c r="K384" s="11">
        <f t="shared" si="11"/>
        <v>0</v>
      </c>
      <c r="L384" s="8"/>
    </row>
    <row r="385" spans="1:12" x14ac:dyDescent="0.3">
      <c r="A385" s="9"/>
      <c r="B385" s="17"/>
      <c r="C385" s="17"/>
      <c r="D385" s="17"/>
      <c r="E385" s="17"/>
      <c r="F385" s="17"/>
      <c r="G385" s="17"/>
      <c r="H385" s="17"/>
      <c r="I385" s="17"/>
      <c r="J385" s="18" t="str">
        <f t="shared" si="10"/>
        <v/>
      </c>
      <c r="K385" s="11">
        <f t="shared" si="11"/>
        <v>0</v>
      </c>
      <c r="L385" s="8"/>
    </row>
    <row r="386" spans="1:12" x14ac:dyDescent="0.3">
      <c r="A386" s="9"/>
      <c r="B386" s="17"/>
      <c r="C386" s="17"/>
      <c r="D386" s="17"/>
      <c r="E386" s="17"/>
      <c r="F386" s="17"/>
      <c r="G386" s="17"/>
      <c r="H386" s="17"/>
      <c r="I386" s="17"/>
      <c r="J386" s="18" t="str">
        <f t="shared" si="10"/>
        <v/>
      </c>
      <c r="K386" s="11">
        <f t="shared" si="11"/>
        <v>0</v>
      </c>
      <c r="L386" s="8"/>
    </row>
    <row r="387" spans="1:12" x14ac:dyDescent="0.3">
      <c r="A387" s="9"/>
      <c r="B387" s="17"/>
      <c r="C387" s="17"/>
      <c r="D387" s="17"/>
      <c r="E387" s="17"/>
      <c r="F387" s="17"/>
      <c r="G387" s="17"/>
      <c r="H387" s="17"/>
      <c r="I387" s="17"/>
      <c r="J387" s="18" t="str">
        <f t="shared" si="10"/>
        <v/>
      </c>
      <c r="K387" s="11">
        <f t="shared" si="11"/>
        <v>0</v>
      </c>
      <c r="L387" s="8"/>
    </row>
    <row r="388" spans="1:12" x14ac:dyDescent="0.3">
      <c r="A388" s="9"/>
      <c r="B388" s="17"/>
      <c r="C388" s="17"/>
      <c r="D388" s="17"/>
      <c r="E388" s="17"/>
      <c r="F388" s="17"/>
      <c r="G388" s="17"/>
      <c r="H388" s="17"/>
      <c r="I388" s="17"/>
      <c r="J388" s="18" t="str">
        <f t="shared" si="10"/>
        <v/>
      </c>
      <c r="K388" s="11">
        <f t="shared" si="11"/>
        <v>0</v>
      </c>
      <c r="L388" s="8"/>
    </row>
    <row r="389" spans="1:12" x14ac:dyDescent="0.3">
      <c r="A389" s="9"/>
      <c r="B389" s="17"/>
      <c r="C389" s="17"/>
      <c r="D389" s="17"/>
      <c r="E389" s="17"/>
      <c r="F389" s="17"/>
      <c r="G389" s="17"/>
      <c r="H389" s="17"/>
      <c r="I389" s="17"/>
      <c r="J389" s="18" t="str">
        <f t="shared" ref="J389:J452" si="12">IF(OR(I389="",B389=""),"",I389-B389)</f>
        <v/>
      </c>
      <c r="K389" s="11">
        <f t="shared" ref="K389:K452" si="13">IFERROR(J389/B389,0)</f>
        <v>0</v>
      </c>
      <c r="L389" s="8"/>
    </row>
    <row r="390" spans="1:12" x14ac:dyDescent="0.3">
      <c r="A390" s="9"/>
      <c r="B390" s="17"/>
      <c r="C390" s="17"/>
      <c r="D390" s="17"/>
      <c r="E390" s="17"/>
      <c r="F390" s="17"/>
      <c r="G390" s="17"/>
      <c r="H390" s="17"/>
      <c r="I390" s="17"/>
      <c r="J390" s="18" t="str">
        <f t="shared" si="12"/>
        <v/>
      </c>
      <c r="K390" s="11">
        <f t="shared" si="13"/>
        <v>0</v>
      </c>
      <c r="L390" s="8"/>
    </row>
    <row r="391" spans="1:12" x14ac:dyDescent="0.3">
      <c r="A391" s="9"/>
      <c r="B391" s="17"/>
      <c r="C391" s="17"/>
      <c r="D391" s="17"/>
      <c r="E391" s="17"/>
      <c r="F391" s="17"/>
      <c r="G391" s="17"/>
      <c r="H391" s="17"/>
      <c r="I391" s="17"/>
      <c r="J391" s="18" t="str">
        <f t="shared" si="12"/>
        <v/>
      </c>
      <c r="K391" s="11">
        <f t="shared" si="13"/>
        <v>0</v>
      </c>
      <c r="L391" s="8"/>
    </row>
    <row r="392" spans="1:12" x14ac:dyDescent="0.3">
      <c r="A392" s="9"/>
      <c r="B392" s="17"/>
      <c r="C392" s="17"/>
      <c r="D392" s="17"/>
      <c r="E392" s="17"/>
      <c r="F392" s="17"/>
      <c r="G392" s="17"/>
      <c r="H392" s="17"/>
      <c r="I392" s="17"/>
      <c r="J392" s="18" t="str">
        <f t="shared" si="12"/>
        <v/>
      </c>
      <c r="K392" s="11">
        <f t="shared" si="13"/>
        <v>0</v>
      </c>
      <c r="L392" s="8"/>
    </row>
    <row r="393" spans="1:12" x14ac:dyDescent="0.3">
      <c r="A393" s="9"/>
      <c r="B393" s="17"/>
      <c r="C393" s="17"/>
      <c r="D393" s="17"/>
      <c r="E393" s="17"/>
      <c r="F393" s="17"/>
      <c r="G393" s="17"/>
      <c r="H393" s="17"/>
      <c r="I393" s="17"/>
      <c r="J393" s="18" t="str">
        <f t="shared" si="12"/>
        <v/>
      </c>
      <c r="K393" s="11">
        <f t="shared" si="13"/>
        <v>0</v>
      </c>
      <c r="L393" s="8"/>
    </row>
    <row r="394" spans="1:12" x14ac:dyDescent="0.3">
      <c r="A394" s="9"/>
      <c r="B394" s="17"/>
      <c r="C394" s="17"/>
      <c r="D394" s="17"/>
      <c r="E394" s="17"/>
      <c r="F394" s="17"/>
      <c r="G394" s="17"/>
      <c r="H394" s="17"/>
      <c r="I394" s="17"/>
      <c r="J394" s="18" t="str">
        <f t="shared" si="12"/>
        <v/>
      </c>
      <c r="K394" s="11">
        <f t="shared" si="13"/>
        <v>0</v>
      </c>
      <c r="L394" s="8"/>
    </row>
    <row r="395" spans="1:12" x14ac:dyDescent="0.3">
      <c r="A395" s="9"/>
      <c r="B395" s="17"/>
      <c r="C395" s="17"/>
      <c r="D395" s="17"/>
      <c r="E395" s="17"/>
      <c r="F395" s="17"/>
      <c r="G395" s="17"/>
      <c r="H395" s="17"/>
      <c r="I395" s="17"/>
      <c r="J395" s="18" t="str">
        <f t="shared" si="12"/>
        <v/>
      </c>
      <c r="K395" s="11">
        <f t="shared" si="13"/>
        <v>0</v>
      </c>
      <c r="L395" s="8"/>
    </row>
    <row r="396" spans="1:12" x14ac:dyDescent="0.3">
      <c r="A396" s="9"/>
      <c r="B396" s="17"/>
      <c r="C396" s="17"/>
      <c r="D396" s="17"/>
      <c r="E396" s="17"/>
      <c r="F396" s="17"/>
      <c r="G396" s="17"/>
      <c r="H396" s="17"/>
      <c r="I396" s="17"/>
      <c r="J396" s="18" t="str">
        <f t="shared" si="12"/>
        <v/>
      </c>
      <c r="K396" s="11">
        <f t="shared" si="13"/>
        <v>0</v>
      </c>
      <c r="L396" s="8"/>
    </row>
    <row r="397" spans="1:12" x14ac:dyDescent="0.3">
      <c r="A397" s="9"/>
      <c r="B397" s="17"/>
      <c r="C397" s="17"/>
      <c r="D397" s="17"/>
      <c r="E397" s="17"/>
      <c r="F397" s="17"/>
      <c r="G397" s="17"/>
      <c r="H397" s="17"/>
      <c r="I397" s="17"/>
      <c r="J397" s="18" t="str">
        <f t="shared" si="12"/>
        <v/>
      </c>
      <c r="K397" s="11">
        <f t="shared" si="13"/>
        <v>0</v>
      </c>
      <c r="L397" s="8"/>
    </row>
    <row r="398" spans="1:12" x14ac:dyDescent="0.3">
      <c r="A398" s="9"/>
      <c r="B398" s="17"/>
      <c r="C398" s="17"/>
      <c r="D398" s="17"/>
      <c r="E398" s="17"/>
      <c r="F398" s="17"/>
      <c r="G398" s="17"/>
      <c r="H398" s="17"/>
      <c r="I398" s="17"/>
      <c r="J398" s="18" t="str">
        <f t="shared" si="12"/>
        <v/>
      </c>
      <c r="K398" s="11">
        <f t="shared" si="13"/>
        <v>0</v>
      </c>
      <c r="L398" s="8"/>
    </row>
    <row r="399" spans="1:12" x14ac:dyDescent="0.3">
      <c r="A399" s="9"/>
      <c r="B399" s="17"/>
      <c r="C399" s="17"/>
      <c r="D399" s="17"/>
      <c r="E399" s="17"/>
      <c r="F399" s="17"/>
      <c r="G399" s="17"/>
      <c r="H399" s="17"/>
      <c r="I399" s="17"/>
      <c r="J399" s="18" t="str">
        <f t="shared" si="12"/>
        <v/>
      </c>
      <c r="K399" s="11">
        <f t="shared" si="13"/>
        <v>0</v>
      </c>
      <c r="L399" s="8"/>
    </row>
    <row r="400" spans="1:12" x14ac:dyDescent="0.3">
      <c r="A400" s="9"/>
      <c r="B400" s="17"/>
      <c r="C400" s="17"/>
      <c r="D400" s="17"/>
      <c r="E400" s="17"/>
      <c r="F400" s="17"/>
      <c r="G400" s="17"/>
      <c r="H400" s="17"/>
      <c r="I400" s="17"/>
      <c r="J400" s="18" t="str">
        <f t="shared" si="12"/>
        <v/>
      </c>
      <c r="K400" s="11">
        <f t="shared" si="13"/>
        <v>0</v>
      </c>
      <c r="L400" s="8"/>
    </row>
    <row r="401" spans="1:12" x14ac:dyDescent="0.3">
      <c r="A401" s="9"/>
      <c r="B401" s="17"/>
      <c r="C401" s="17"/>
      <c r="D401" s="17"/>
      <c r="E401" s="17"/>
      <c r="F401" s="17"/>
      <c r="G401" s="17"/>
      <c r="H401" s="17"/>
      <c r="I401" s="17"/>
      <c r="J401" s="18" t="str">
        <f t="shared" si="12"/>
        <v/>
      </c>
      <c r="K401" s="11">
        <f t="shared" si="13"/>
        <v>0</v>
      </c>
      <c r="L401" s="8"/>
    </row>
    <row r="402" spans="1:12" x14ac:dyDescent="0.3">
      <c r="A402" s="9"/>
      <c r="B402" s="17"/>
      <c r="C402" s="17"/>
      <c r="D402" s="17"/>
      <c r="E402" s="17"/>
      <c r="F402" s="17"/>
      <c r="G402" s="17"/>
      <c r="H402" s="17"/>
      <c r="I402" s="17"/>
      <c r="J402" s="18" t="str">
        <f t="shared" si="12"/>
        <v/>
      </c>
      <c r="K402" s="11">
        <f t="shared" si="13"/>
        <v>0</v>
      </c>
      <c r="L402" s="8"/>
    </row>
    <row r="403" spans="1:12" x14ac:dyDescent="0.3">
      <c r="A403" s="9"/>
      <c r="B403" s="17"/>
      <c r="C403" s="17"/>
      <c r="D403" s="17"/>
      <c r="E403" s="17"/>
      <c r="F403" s="17"/>
      <c r="G403" s="17"/>
      <c r="H403" s="17"/>
      <c r="I403" s="17"/>
      <c r="J403" s="18" t="str">
        <f t="shared" si="12"/>
        <v/>
      </c>
      <c r="K403" s="11">
        <f t="shared" si="13"/>
        <v>0</v>
      </c>
      <c r="L403" s="8"/>
    </row>
    <row r="404" spans="1:12" x14ac:dyDescent="0.3">
      <c r="A404" s="9"/>
      <c r="B404" s="17"/>
      <c r="C404" s="17"/>
      <c r="D404" s="17"/>
      <c r="E404" s="17"/>
      <c r="F404" s="17"/>
      <c r="G404" s="17"/>
      <c r="H404" s="17"/>
      <c r="I404" s="17"/>
      <c r="J404" s="18" t="str">
        <f t="shared" si="12"/>
        <v/>
      </c>
      <c r="K404" s="11">
        <f t="shared" si="13"/>
        <v>0</v>
      </c>
      <c r="L404" s="8"/>
    </row>
    <row r="405" spans="1:12" x14ac:dyDescent="0.3">
      <c r="A405" s="9"/>
      <c r="B405" s="17"/>
      <c r="C405" s="17"/>
      <c r="D405" s="17"/>
      <c r="E405" s="17"/>
      <c r="F405" s="17"/>
      <c r="G405" s="17"/>
      <c r="H405" s="17"/>
      <c r="I405" s="17"/>
      <c r="J405" s="18" t="str">
        <f t="shared" si="12"/>
        <v/>
      </c>
      <c r="K405" s="11">
        <f t="shared" si="13"/>
        <v>0</v>
      </c>
      <c r="L405" s="8"/>
    </row>
    <row r="406" spans="1:12" x14ac:dyDescent="0.3">
      <c r="A406" s="9"/>
      <c r="B406" s="17"/>
      <c r="C406" s="17"/>
      <c r="D406" s="17"/>
      <c r="E406" s="17"/>
      <c r="F406" s="17"/>
      <c r="G406" s="17"/>
      <c r="H406" s="17"/>
      <c r="I406" s="17"/>
      <c r="J406" s="18" t="str">
        <f t="shared" si="12"/>
        <v/>
      </c>
      <c r="K406" s="11">
        <f t="shared" si="13"/>
        <v>0</v>
      </c>
      <c r="L406" s="8"/>
    </row>
    <row r="407" spans="1:12" x14ac:dyDescent="0.3">
      <c r="A407" s="9"/>
      <c r="B407" s="17"/>
      <c r="C407" s="17"/>
      <c r="D407" s="17"/>
      <c r="E407" s="17"/>
      <c r="F407" s="17"/>
      <c r="G407" s="17"/>
      <c r="H407" s="17"/>
      <c r="I407" s="17"/>
      <c r="J407" s="18" t="str">
        <f t="shared" si="12"/>
        <v/>
      </c>
      <c r="K407" s="11">
        <f t="shared" si="13"/>
        <v>0</v>
      </c>
      <c r="L407" s="8"/>
    </row>
    <row r="408" spans="1:12" x14ac:dyDescent="0.3">
      <c r="A408" s="9"/>
      <c r="B408" s="17"/>
      <c r="C408" s="17"/>
      <c r="D408" s="17"/>
      <c r="E408" s="17"/>
      <c r="F408" s="17"/>
      <c r="G408" s="17"/>
      <c r="H408" s="17"/>
      <c r="I408" s="17"/>
      <c r="J408" s="18" t="str">
        <f t="shared" si="12"/>
        <v/>
      </c>
      <c r="K408" s="11">
        <f t="shared" si="13"/>
        <v>0</v>
      </c>
      <c r="L408" s="8"/>
    </row>
    <row r="409" spans="1:12" x14ac:dyDescent="0.3">
      <c r="A409" s="9"/>
      <c r="B409" s="17"/>
      <c r="C409" s="17"/>
      <c r="D409" s="17"/>
      <c r="E409" s="17"/>
      <c r="F409" s="17"/>
      <c r="G409" s="17"/>
      <c r="H409" s="17"/>
      <c r="I409" s="17"/>
      <c r="J409" s="18" t="str">
        <f t="shared" si="12"/>
        <v/>
      </c>
      <c r="K409" s="11">
        <f t="shared" si="13"/>
        <v>0</v>
      </c>
      <c r="L409" s="8"/>
    </row>
    <row r="410" spans="1:12" x14ac:dyDescent="0.3">
      <c r="A410" s="9"/>
      <c r="B410" s="17"/>
      <c r="C410" s="17"/>
      <c r="D410" s="17"/>
      <c r="E410" s="17"/>
      <c r="F410" s="17"/>
      <c r="G410" s="17"/>
      <c r="H410" s="17"/>
      <c r="I410" s="17"/>
      <c r="J410" s="18" t="str">
        <f t="shared" si="12"/>
        <v/>
      </c>
      <c r="K410" s="11">
        <f t="shared" si="13"/>
        <v>0</v>
      </c>
      <c r="L410" s="8"/>
    </row>
    <row r="411" spans="1:12" x14ac:dyDescent="0.3">
      <c r="A411" s="9"/>
      <c r="B411" s="17"/>
      <c r="C411" s="17"/>
      <c r="D411" s="17"/>
      <c r="E411" s="17"/>
      <c r="F411" s="17"/>
      <c r="G411" s="17"/>
      <c r="H411" s="17"/>
      <c r="I411" s="17"/>
      <c r="J411" s="18" t="str">
        <f t="shared" si="12"/>
        <v/>
      </c>
      <c r="K411" s="11">
        <f t="shared" si="13"/>
        <v>0</v>
      </c>
      <c r="L411" s="8"/>
    </row>
    <row r="412" spans="1:12" x14ac:dyDescent="0.3">
      <c r="A412" s="9"/>
      <c r="B412" s="17"/>
      <c r="C412" s="17"/>
      <c r="D412" s="17"/>
      <c r="E412" s="17"/>
      <c r="F412" s="17"/>
      <c r="G412" s="17"/>
      <c r="H412" s="17"/>
      <c r="I412" s="17"/>
      <c r="J412" s="18" t="str">
        <f t="shared" si="12"/>
        <v/>
      </c>
      <c r="K412" s="11">
        <f t="shared" si="13"/>
        <v>0</v>
      </c>
      <c r="L412" s="8"/>
    </row>
    <row r="413" spans="1:12" x14ac:dyDescent="0.3">
      <c r="A413" s="9"/>
      <c r="B413" s="17"/>
      <c r="C413" s="17"/>
      <c r="D413" s="17"/>
      <c r="E413" s="17"/>
      <c r="F413" s="17"/>
      <c r="G413" s="17"/>
      <c r="H413" s="17"/>
      <c r="I413" s="17"/>
      <c r="J413" s="18" t="str">
        <f t="shared" si="12"/>
        <v/>
      </c>
      <c r="K413" s="11">
        <f t="shared" si="13"/>
        <v>0</v>
      </c>
      <c r="L413" s="8"/>
    </row>
    <row r="414" spans="1:12" x14ac:dyDescent="0.3">
      <c r="A414" s="9"/>
      <c r="B414" s="17"/>
      <c r="C414" s="17"/>
      <c r="D414" s="17"/>
      <c r="E414" s="17"/>
      <c r="F414" s="17"/>
      <c r="G414" s="17"/>
      <c r="H414" s="17"/>
      <c r="I414" s="17"/>
      <c r="J414" s="18" t="str">
        <f t="shared" si="12"/>
        <v/>
      </c>
      <c r="K414" s="11">
        <f t="shared" si="13"/>
        <v>0</v>
      </c>
      <c r="L414" s="8"/>
    </row>
    <row r="415" spans="1:12" x14ac:dyDescent="0.3">
      <c r="A415" s="9"/>
      <c r="B415" s="17"/>
      <c r="C415" s="17"/>
      <c r="D415" s="17"/>
      <c r="E415" s="17"/>
      <c r="F415" s="17"/>
      <c r="G415" s="17"/>
      <c r="H415" s="17"/>
      <c r="I415" s="17"/>
      <c r="J415" s="18" t="str">
        <f t="shared" si="12"/>
        <v/>
      </c>
      <c r="K415" s="11">
        <f t="shared" si="13"/>
        <v>0</v>
      </c>
      <c r="L415" s="8"/>
    </row>
    <row r="416" spans="1:12" x14ac:dyDescent="0.3">
      <c r="A416" s="9"/>
      <c r="B416" s="17"/>
      <c r="C416" s="17"/>
      <c r="D416" s="17"/>
      <c r="E416" s="17"/>
      <c r="F416" s="17"/>
      <c r="G416" s="17"/>
      <c r="H416" s="17"/>
      <c r="I416" s="17"/>
      <c r="J416" s="18" t="str">
        <f t="shared" si="12"/>
        <v/>
      </c>
      <c r="K416" s="11">
        <f t="shared" si="13"/>
        <v>0</v>
      </c>
      <c r="L416" s="8"/>
    </row>
    <row r="417" spans="1:12" x14ac:dyDescent="0.3">
      <c r="A417" s="9"/>
      <c r="B417" s="17"/>
      <c r="C417" s="17"/>
      <c r="D417" s="17"/>
      <c r="E417" s="17"/>
      <c r="F417" s="17"/>
      <c r="G417" s="17"/>
      <c r="H417" s="17"/>
      <c r="I417" s="17"/>
      <c r="J417" s="18" t="str">
        <f t="shared" si="12"/>
        <v/>
      </c>
      <c r="K417" s="11">
        <f t="shared" si="13"/>
        <v>0</v>
      </c>
      <c r="L417" s="8"/>
    </row>
    <row r="418" spans="1:12" x14ac:dyDescent="0.3">
      <c r="A418" s="9"/>
      <c r="B418" s="17"/>
      <c r="C418" s="17"/>
      <c r="D418" s="17"/>
      <c r="E418" s="17"/>
      <c r="F418" s="17"/>
      <c r="G418" s="17"/>
      <c r="H418" s="17"/>
      <c r="I418" s="17"/>
      <c r="J418" s="18" t="str">
        <f t="shared" si="12"/>
        <v/>
      </c>
      <c r="K418" s="11">
        <f t="shared" si="13"/>
        <v>0</v>
      </c>
      <c r="L418" s="8"/>
    </row>
    <row r="419" spans="1:12" x14ac:dyDescent="0.3">
      <c r="A419" s="9"/>
      <c r="B419" s="17"/>
      <c r="C419" s="17"/>
      <c r="D419" s="17"/>
      <c r="E419" s="17"/>
      <c r="F419" s="17"/>
      <c r="G419" s="17"/>
      <c r="H419" s="17"/>
      <c r="I419" s="17"/>
      <c r="J419" s="18" t="str">
        <f t="shared" si="12"/>
        <v/>
      </c>
      <c r="K419" s="11">
        <f t="shared" si="13"/>
        <v>0</v>
      </c>
      <c r="L419" s="8"/>
    </row>
    <row r="420" spans="1:12" x14ac:dyDescent="0.3">
      <c r="A420" s="9"/>
      <c r="B420" s="17"/>
      <c r="C420" s="17"/>
      <c r="D420" s="17"/>
      <c r="E420" s="17"/>
      <c r="F420" s="17"/>
      <c r="G420" s="17"/>
      <c r="H420" s="17"/>
      <c r="I420" s="17"/>
      <c r="J420" s="18" t="str">
        <f t="shared" si="12"/>
        <v/>
      </c>
      <c r="K420" s="11">
        <f t="shared" si="13"/>
        <v>0</v>
      </c>
      <c r="L420" s="8"/>
    </row>
    <row r="421" spans="1:12" x14ac:dyDescent="0.3">
      <c r="A421" s="9"/>
      <c r="B421" s="17"/>
      <c r="C421" s="17"/>
      <c r="D421" s="17"/>
      <c r="E421" s="17"/>
      <c r="F421" s="17"/>
      <c r="G421" s="17"/>
      <c r="H421" s="17"/>
      <c r="I421" s="17"/>
      <c r="J421" s="18" t="str">
        <f t="shared" si="12"/>
        <v/>
      </c>
      <c r="K421" s="11">
        <f t="shared" si="13"/>
        <v>0</v>
      </c>
      <c r="L421" s="8"/>
    </row>
    <row r="422" spans="1:12" x14ac:dyDescent="0.3">
      <c r="A422" s="9"/>
      <c r="B422" s="17"/>
      <c r="C422" s="17"/>
      <c r="D422" s="17"/>
      <c r="E422" s="17"/>
      <c r="F422" s="17"/>
      <c r="G422" s="17"/>
      <c r="H422" s="17"/>
      <c r="I422" s="17"/>
      <c r="J422" s="18" t="str">
        <f t="shared" si="12"/>
        <v/>
      </c>
      <c r="K422" s="11">
        <f t="shared" si="13"/>
        <v>0</v>
      </c>
      <c r="L422" s="8"/>
    </row>
    <row r="423" spans="1:12" x14ac:dyDescent="0.3">
      <c r="A423" s="9"/>
      <c r="B423" s="17"/>
      <c r="C423" s="17"/>
      <c r="D423" s="17"/>
      <c r="E423" s="17"/>
      <c r="F423" s="17"/>
      <c r="G423" s="17"/>
      <c r="H423" s="17"/>
      <c r="I423" s="17"/>
      <c r="J423" s="18" t="str">
        <f t="shared" si="12"/>
        <v/>
      </c>
      <c r="K423" s="11">
        <f t="shared" si="13"/>
        <v>0</v>
      </c>
      <c r="L423" s="8"/>
    </row>
    <row r="424" spans="1:12" x14ac:dyDescent="0.3">
      <c r="A424" s="9"/>
      <c r="B424" s="17"/>
      <c r="C424" s="17"/>
      <c r="D424" s="17"/>
      <c r="E424" s="17"/>
      <c r="F424" s="17"/>
      <c r="G424" s="17"/>
      <c r="H424" s="17"/>
      <c r="I424" s="17"/>
      <c r="J424" s="18" t="str">
        <f t="shared" si="12"/>
        <v/>
      </c>
      <c r="K424" s="11">
        <f t="shared" si="13"/>
        <v>0</v>
      </c>
      <c r="L424" s="8"/>
    </row>
    <row r="425" spans="1:12" x14ac:dyDescent="0.3">
      <c r="A425" s="9"/>
      <c r="B425" s="17"/>
      <c r="C425" s="17"/>
      <c r="D425" s="17"/>
      <c r="E425" s="17"/>
      <c r="F425" s="17"/>
      <c r="G425" s="17"/>
      <c r="H425" s="17"/>
      <c r="I425" s="17"/>
      <c r="J425" s="18" t="str">
        <f t="shared" si="12"/>
        <v/>
      </c>
      <c r="K425" s="11">
        <f t="shared" si="13"/>
        <v>0</v>
      </c>
      <c r="L425" s="8"/>
    </row>
    <row r="426" spans="1:12" x14ac:dyDescent="0.3">
      <c r="A426" s="9"/>
      <c r="B426" s="17"/>
      <c r="C426" s="17"/>
      <c r="D426" s="17"/>
      <c r="E426" s="17"/>
      <c r="F426" s="17"/>
      <c r="G426" s="17"/>
      <c r="H426" s="17"/>
      <c r="I426" s="17"/>
      <c r="J426" s="18" t="str">
        <f t="shared" si="12"/>
        <v/>
      </c>
      <c r="K426" s="11">
        <f t="shared" si="13"/>
        <v>0</v>
      </c>
      <c r="L426" s="8"/>
    </row>
    <row r="427" spans="1:12" x14ac:dyDescent="0.3">
      <c r="A427" s="9"/>
      <c r="B427" s="17"/>
      <c r="C427" s="17"/>
      <c r="D427" s="17"/>
      <c r="E427" s="17"/>
      <c r="F427" s="17"/>
      <c r="G427" s="17"/>
      <c r="H427" s="17"/>
      <c r="I427" s="17"/>
      <c r="J427" s="18" t="str">
        <f t="shared" si="12"/>
        <v/>
      </c>
      <c r="K427" s="11">
        <f t="shared" si="13"/>
        <v>0</v>
      </c>
      <c r="L427" s="8"/>
    </row>
    <row r="428" spans="1:12" x14ac:dyDescent="0.3">
      <c r="A428" s="9"/>
      <c r="B428" s="17"/>
      <c r="C428" s="17"/>
      <c r="D428" s="17"/>
      <c r="E428" s="17"/>
      <c r="F428" s="17"/>
      <c r="G428" s="17"/>
      <c r="H428" s="17"/>
      <c r="I428" s="17"/>
      <c r="J428" s="18" t="str">
        <f t="shared" si="12"/>
        <v/>
      </c>
      <c r="K428" s="11">
        <f t="shared" si="13"/>
        <v>0</v>
      </c>
      <c r="L428" s="8"/>
    </row>
    <row r="429" spans="1:12" x14ac:dyDescent="0.3">
      <c r="A429" s="9"/>
      <c r="B429" s="17"/>
      <c r="C429" s="17"/>
      <c r="D429" s="17"/>
      <c r="E429" s="17"/>
      <c r="F429" s="17"/>
      <c r="G429" s="17"/>
      <c r="H429" s="17"/>
      <c r="I429" s="17"/>
      <c r="J429" s="18" t="str">
        <f t="shared" si="12"/>
        <v/>
      </c>
      <c r="K429" s="11">
        <f t="shared" si="13"/>
        <v>0</v>
      </c>
      <c r="L429" s="8"/>
    </row>
    <row r="430" spans="1:12" x14ac:dyDescent="0.3">
      <c r="A430" s="9"/>
      <c r="B430" s="17"/>
      <c r="C430" s="17"/>
      <c r="D430" s="17"/>
      <c r="E430" s="17"/>
      <c r="F430" s="17"/>
      <c r="G430" s="17"/>
      <c r="H430" s="17"/>
      <c r="I430" s="17"/>
      <c r="J430" s="18" t="str">
        <f t="shared" si="12"/>
        <v/>
      </c>
      <c r="K430" s="11">
        <f t="shared" si="13"/>
        <v>0</v>
      </c>
      <c r="L430" s="8"/>
    </row>
    <row r="431" spans="1:12" x14ac:dyDescent="0.3">
      <c r="A431" s="9"/>
      <c r="B431" s="17"/>
      <c r="C431" s="17"/>
      <c r="D431" s="17"/>
      <c r="E431" s="17"/>
      <c r="F431" s="17"/>
      <c r="G431" s="17"/>
      <c r="H431" s="17"/>
      <c r="I431" s="17"/>
      <c r="J431" s="18" t="str">
        <f t="shared" si="12"/>
        <v/>
      </c>
      <c r="K431" s="11">
        <f t="shared" si="13"/>
        <v>0</v>
      </c>
      <c r="L431" s="8"/>
    </row>
    <row r="432" spans="1:12" x14ac:dyDescent="0.3">
      <c r="A432" s="9"/>
      <c r="B432" s="17"/>
      <c r="C432" s="17"/>
      <c r="D432" s="17"/>
      <c r="E432" s="17"/>
      <c r="F432" s="17"/>
      <c r="G432" s="17"/>
      <c r="H432" s="17"/>
      <c r="I432" s="17"/>
      <c r="J432" s="18" t="str">
        <f t="shared" si="12"/>
        <v/>
      </c>
      <c r="K432" s="11">
        <f t="shared" si="13"/>
        <v>0</v>
      </c>
      <c r="L432" s="8"/>
    </row>
    <row r="433" spans="1:12" x14ac:dyDescent="0.3">
      <c r="A433" s="9"/>
      <c r="B433" s="17"/>
      <c r="C433" s="17"/>
      <c r="D433" s="17"/>
      <c r="E433" s="17"/>
      <c r="F433" s="17"/>
      <c r="G433" s="17"/>
      <c r="H433" s="17"/>
      <c r="I433" s="17"/>
      <c r="J433" s="18" t="str">
        <f t="shared" si="12"/>
        <v/>
      </c>
      <c r="K433" s="11">
        <f t="shared" si="13"/>
        <v>0</v>
      </c>
      <c r="L433" s="8"/>
    </row>
    <row r="434" spans="1:12" x14ac:dyDescent="0.3">
      <c r="A434" s="9"/>
      <c r="B434" s="17"/>
      <c r="C434" s="17"/>
      <c r="D434" s="17"/>
      <c r="E434" s="17"/>
      <c r="F434" s="17"/>
      <c r="G434" s="17"/>
      <c r="H434" s="17"/>
      <c r="I434" s="17"/>
      <c r="J434" s="18" t="str">
        <f t="shared" si="12"/>
        <v/>
      </c>
      <c r="K434" s="11">
        <f t="shared" si="13"/>
        <v>0</v>
      </c>
      <c r="L434" s="8"/>
    </row>
    <row r="435" spans="1:12" x14ac:dyDescent="0.3">
      <c r="A435" s="9"/>
      <c r="B435" s="17"/>
      <c r="C435" s="17"/>
      <c r="D435" s="17"/>
      <c r="E435" s="17"/>
      <c r="F435" s="17"/>
      <c r="G435" s="17"/>
      <c r="H435" s="17"/>
      <c r="I435" s="17"/>
      <c r="J435" s="18" t="str">
        <f t="shared" si="12"/>
        <v/>
      </c>
      <c r="K435" s="11">
        <f t="shared" si="13"/>
        <v>0</v>
      </c>
      <c r="L435" s="8"/>
    </row>
    <row r="436" spans="1:12" x14ac:dyDescent="0.3">
      <c r="A436" s="9"/>
      <c r="B436" s="17"/>
      <c r="C436" s="17"/>
      <c r="D436" s="17"/>
      <c r="E436" s="17"/>
      <c r="F436" s="17"/>
      <c r="G436" s="17"/>
      <c r="H436" s="17"/>
      <c r="I436" s="17"/>
      <c r="J436" s="18" t="str">
        <f t="shared" si="12"/>
        <v/>
      </c>
      <c r="K436" s="11">
        <f t="shared" si="13"/>
        <v>0</v>
      </c>
      <c r="L436" s="8"/>
    </row>
    <row r="437" spans="1:12" x14ac:dyDescent="0.3">
      <c r="A437" s="9"/>
      <c r="B437" s="17"/>
      <c r="C437" s="17"/>
      <c r="D437" s="17"/>
      <c r="E437" s="17"/>
      <c r="F437" s="17"/>
      <c r="G437" s="17"/>
      <c r="H437" s="17"/>
      <c r="I437" s="17"/>
      <c r="J437" s="18" t="str">
        <f t="shared" si="12"/>
        <v/>
      </c>
      <c r="K437" s="11">
        <f t="shared" si="13"/>
        <v>0</v>
      </c>
      <c r="L437" s="8"/>
    </row>
    <row r="438" spans="1:12" x14ac:dyDescent="0.3">
      <c r="A438" s="9"/>
      <c r="B438" s="17"/>
      <c r="C438" s="17"/>
      <c r="D438" s="17"/>
      <c r="E438" s="17"/>
      <c r="F438" s="17"/>
      <c r="G438" s="17"/>
      <c r="H438" s="17"/>
      <c r="I438" s="17"/>
      <c r="J438" s="18" t="str">
        <f t="shared" si="12"/>
        <v/>
      </c>
      <c r="K438" s="11">
        <f t="shared" si="13"/>
        <v>0</v>
      </c>
      <c r="L438" s="8"/>
    </row>
    <row r="439" spans="1:12" x14ac:dyDescent="0.3">
      <c r="A439" s="9"/>
      <c r="B439" s="17"/>
      <c r="C439" s="17"/>
      <c r="D439" s="17"/>
      <c r="E439" s="17"/>
      <c r="F439" s="17"/>
      <c r="G439" s="17"/>
      <c r="H439" s="17"/>
      <c r="I439" s="17"/>
      <c r="J439" s="18" t="str">
        <f t="shared" si="12"/>
        <v/>
      </c>
      <c r="K439" s="11">
        <f t="shared" si="13"/>
        <v>0</v>
      </c>
      <c r="L439" s="8"/>
    </row>
    <row r="440" spans="1:12" x14ac:dyDescent="0.3">
      <c r="A440" s="9"/>
      <c r="B440" s="17"/>
      <c r="C440" s="17"/>
      <c r="D440" s="17"/>
      <c r="E440" s="17"/>
      <c r="F440" s="17"/>
      <c r="G440" s="17"/>
      <c r="H440" s="17"/>
      <c r="I440" s="17"/>
      <c r="J440" s="18" t="str">
        <f t="shared" si="12"/>
        <v/>
      </c>
      <c r="K440" s="11">
        <f t="shared" si="13"/>
        <v>0</v>
      </c>
      <c r="L440" s="8"/>
    </row>
    <row r="441" spans="1:12" x14ac:dyDescent="0.3">
      <c r="A441" s="9"/>
      <c r="B441" s="17"/>
      <c r="C441" s="17"/>
      <c r="D441" s="17"/>
      <c r="E441" s="17"/>
      <c r="F441" s="17"/>
      <c r="G441" s="17"/>
      <c r="H441" s="17"/>
      <c r="I441" s="17"/>
      <c r="J441" s="18" t="str">
        <f t="shared" si="12"/>
        <v/>
      </c>
      <c r="K441" s="11">
        <f t="shared" si="13"/>
        <v>0</v>
      </c>
      <c r="L441" s="8"/>
    </row>
    <row r="442" spans="1:12" x14ac:dyDescent="0.3">
      <c r="A442" s="9"/>
      <c r="B442" s="17"/>
      <c r="C442" s="17"/>
      <c r="D442" s="17"/>
      <c r="E442" s="17"/>
      <c r="F442" s="17"/>
      <c r="G442" s="17"/>
      <c r="H442" s="17"/>
      <c r="I442" s="17"/>
      <c r="J442" s="18" t="str">
        <f t="shared" si="12"/>
        <v/>
      </c>
      <c r="K442" s="11">
        <f t="shared" si="13"/>
        <v>0</v>
      </c>
      <c r="L442" s="8"/>
    </row>
    <row r="443" spans="1:12" x14ac:dyDescent="0.3">
      <c r="A443" s="9"/>
      <c r="B443" s="17"/>
      <c r="C443" s="17"/>
      <c r="D443" s="17"/>
      <c r="E443" s="17"/>
      <c r="F443" s="17"/>
      <c r="G443" s="17"/>
      <c r="H443" s="17"/>
      <c r="I443" s="17"/>
      <c r="J443" s="18" t="str">
        <f t="shared" si="12"/>
        <v/>
      </c>
      <c r="K443" s="11">
        <f t="shared" si="13"/>
        <v>0</v>
      </c>
      <c r="L443" s="8"/>
    </row>
    <row r="444" spans="1:12" x14ac:dyDescent="0.3">
      <c r="A444" s="9"/>
      <c r="B444" s="17"/>
      <c r="C444" s="17"/>
      <c r="D444" s="17"/>
      <c r="E444" s="17"/>
      <c r="F444" s="17"/>
      <c r="G444" s="17"/>
      <c r="H444" s="17"/>
      <c r="I444" s="17"/>
      <c r="J444" s="18" t="str">
        <f t="shared" si="12"/>
        <v/>
      </c>
      <c r="K444" s="11">
        <f t="shared" si="13"/>
        <v>0</v>
      </c>
      <c r="L444" s="8"/>
    </row>
    <row r="445" spans="1:12" x14ac:dyDescent="0.3">
      <c r="A445" s="9"/>
      <c r="B445" s="17"/>
      <c r="C445" s="17"/>
      <c r="D445" s="17"/>
      <c r="E445" s="17"/>
      <c r="F445" s="17"/>
      <c r="G445" s="17"/>
      <c r="H445" s="17"/>
      <c r="I445" s="17"/>
      <c r="J445" s="18" t="str">
        <f t="shared" si="12"/>
        <v/>
      </c>
      <c r="K445" s="11">
        <f t="shared" si="13"/>
        <v>0</v>
      </c>
      <c r="L445" s="8"/>
    </row>
    <row r="446" spans="1:12" x14ac:dyDescent="0.3">
      <c r="A446" s="9"/>
      <c r="B446" s="17"/>
      <c r="C446" s="17"/>
      <c r="D446" s="17"/>
      <c r="E446" s="17"/>
      <c r="F446" s="17"/>
      <c r="G446" s="17"/>
      <c r="H446" s="17"/>
      <c r="I446" s="17"/>
      <c r="J446" s="18" t="str">
        <f t="shared" si="12"/>
        <v/>
      </c>
      <c r="K446" s="11">
        <f t="shared" si="13"/>
        <v>0</v>
      </c>
      <c r="L446" s="8"/>
    </row>
    <row r="447" spans="1:12" x14ac:dyDescent="0.3">
      <c r="A447" s="9"/>
      <c r="B447" s="17"/>
      <c r="C447" s="17"/>
      <c r="D447" s="17"/>
      <c r="E447" s="17"/>
      <c r="F447" s="17"/>
      <c r="G447" s="17"/>
      <c r="H447" s="17"/>
      <c r="I447" s="17"/>
      <c r="J447" s="18" t="str">
        <f t="shared" si="12"/>
        <v/>
      </c>
      <c r="K447" s="11">
        <f t="shared" si="13"/>
        <v>0</v>
      </c>
      <c r="L447" s="8"/>
    </row>
    <row r="448" spans="1:12" x14ac:dyDescent="0.3">
      <c r="A448" s="9"/>
      <c r="B448" s="17"/>
      <c r="C448" s="17"/>
      <c r="D448" s="17"/>
      <c r="E448" s="17"/>
      <c r="F448" s="17"/>
      <c r="G448" s="17"/>
      <c r="H448" s="17"/>
      <c r="I448" s="17"/>
      <c r="J448" s="18" t="str">
        <f t="shared" si="12"/>
        <v/>
      </c>
      <c r="K448" s="11">
        <f t="shared" si="13"/>
        <v>0</v>
      </c>
      <c r="L448" s="8"/>
    </row>
    <row r="449" spans="1:12" x14ac:dyDescent="0.3">
      <c r="A449" s="9"/>
      <c r="B449" s="17"/>
      <c r="C449" s="17"/>
      <c r="D449" s="17"/>
      <c r="E449" s="17"/>
      <c r="F449" s="17"/>
      <c r="G449" s="17"/>
      <c r="H449" s="17"/>
      <c r="I449" s="17"/>
      <c r="J449" s="18" t="str">
        <f t="shared" si="12"/>
        <v/>
      </c>
      <c r="K449" s="11">
        <f t="shared" si="13"/>
        <v>0</v>
      </c>
      <c r="L449" s="8"/>
    </row>
    <row r="450" spans="1:12" x14ac:dyDescent="0.3">
      <c r="A450" s="9"/>
      <c r="B450" s="17"/>
      <c r="C450" s="17"/>
      <c r="D450" s="17"/>
      <c r="E450" s="17"/>
      <c r="F450" s="17"/>
      <c r="G450" s="17"/>
      <c r="H450" s="17"/>
      <c r="I450" s="17"/>
      <c r="J450" s="18" t="str">
        <f t="shared" si="12"/>
        <v/>
      </c>
      <c r="K450" s="11">
        <f t="shared" si="13"/>
        <v>0</v>
      </c>
      <c r="L450" s="8"/>
    </row>
    <row r="451" spans="1:12" x14ac:dyDescent="0.3">
      <c r="A451" s="9"/>
      <c r="B451" s="17"/>
      <c r="C451" s="17"/>
      <c r="D451" s="17"/>
      <c r="E451" s="17"/>
      <c r="F451" s="17"/>
      <c r="G451" s="17"/>
      <c r="H451" s="17"/>
      <c r="I451" s="17"/>
      <c r="J451" s="18" t="str">
        <f t="shared" si="12"/>
        <v/>
      </c>
      <c r="K451" s="11">
        <f t="shared" si="13"/>
        <v>0</v>
      </c>
      <c r="L451" s="8"/>
    </row>
    <row r="452" spans="1:12" x14ac:dyDescent="0.3">
      <c r="A452" s="9"/>
      <c r="B452" s="17"/>
      <c r="C452" s="17"/>
      <c r="D452" s="17"/>
      <c r="E452" s="17"/>
      <c r="F452" s="17"/>
      <c r="G452" s="17"/>
      <c r="H452" s="17"/>
      <c r="I452" s="17"/>
      <c r="J452" s="18" t="str">
        <f t="shared" si="12"/>
        <v/>
      </c>
      <c r="K452" s="11">
        <f t="shared" si="13"/>
        <v>0</v>
      </c>
      <c r="L452" s="8"/>
    </row>
    <row r="453" spans="1:12" x14ac:dyDescent="0.3">
      <c r="A453" s="9"/>
      <c r="B453" s="17"/>
      <c r="C453" s="17"/>
      <c r="D453" s="17"/>
      <c r="E453" s="17"/>
      <c r="F453" s="17"/>
      <c r="G453" s="17"/>
      <c r="H453" s="17"/>
      <c r="I453" s="17"/>
      <c r="J453" s="18" t="str">
        <f t="shared" ref="J453:J516" si="14">IF(OR(I453="",B453=""),"",I453-B453)</f>
        <v/>
      </c>
      <c r="K453" s="11">
        <f t="shared" ref="K453:K516" si="15">IFERROR(J453/B453,0)</f>
        <v>0</v>
      </c>
      <c r="L453" s="8"/>
    </row>
    <row r="454" spans="1:12" x14ac:dyDescent="0.3">
      <c r="A454" s="9"/>
      <c r="B454" s="17"/>
      <c r="C454" s="17"/>
      <c r="D454" s="17"/>
      <c r="E454" s="17"/>
      <c r="F454" s="17"/>
      <c r="G454" s="17"/>
      <c r="H454" s="17"/>
      <c r="I454" s="17"/>
      <c r="J454" s="18" t="str">
        <f t="shared" si="14"/>
        <v/>
      </c>
      <c r="K454" s="11">
        <f t="shared" si="15"/>
        <v>0</v>
      </c>
      <c r="L454" s="8"/>
    </row>
    <row r="455" spans="1:12" x14ac:dyDescent="0.3">
      <c r="A455" s="9"/>
      <c r="B455" s="17"/>
      <c r="C455" s="17"/>
      <c r="D455" s="17"/>
      <c r="E455" s="17"/>
      <c r="F455" s="17"/>
      <c r="G455" s="17"/>
      <c r="H455" s="17"/>
      <c r="I455" s="17"/>
      <c r="J455" s="18" t="str">
        <f t="shared" si="14"/>
        <v/>
      </c>
      <c r="K455" s="11">
        <f t="shared" si="15"/>
        <v>0</v>
      </c>
      <c r="L455" s="8"/>
    </row>
    <row r="456" spans="1:12" x14ac:dyDescent="0.3">
      <c r="A456" s="9"/>
      <c r="B456" s="17"/>
      <c r="C456" s="17"/>
      <c r="D456" s="17"/>
      <c r="E456" s="17"/>
      <c r="F456" s="17"/>
      <c r="G456" s="17"/>
      <c r="H456" s="17"/>
      <c r="I456" s="17"/>
      <c r="J456" s="18" t="str">
        <f t="shared" si="14"/>
        <v/>
      </c>
      <c r="K456" s="11">
        <f t="shared" si="15"/>
        <v>0</v>
      </c>
      <c r="L456" s="8"/>
    </row>
    <row r="457" spans="1:12" x14ac:dyDescent="0.3">
      <c r="A457" s="9"/>
      <c r="B457" s="17"/>
      <c r="C457" s="17"/>
      <c r="D457" s="17"/>
      <c r="E457" s="17"/>
      <c r="F457" s="17"/>
      <c r="G457" s="17"/>
      <c r="H457" s="17"/>
      <c r="I457" s="17"/>
      <c r="J457" s="18" t="str">
        <f t="shared" si="14"/>
        <v/>
      </c>
      <c r="K457" s="11">
        <f t="shared" si="15"/>
        <v>0</v>
      </c>
      <c r="L457" s="8"/>
    </row>
    <row r="458" spans="1:12" x14ac:dyDescent="0.3">
      <c r="A458" s="9"/>
      <c r="B458" s="17"/>
      <c r="C458" s="17"/>
      <c r="D458" s="17"/>
      <c r="E458" s="17"/>
      <c r="F458" s="17"/>
      <c r="G458" s="17"/>
      <c r="H458" s="17"/>
      <c r="I458" s="17"/>
      <c r="J458" s="18" t="str">
        <f t="shared" si="14"/>
        <v/>
      </c>
      <c r="K458" s="11">
        <f t="shared" si="15"/>
        <v>0</v>
      </c>
      <c r="L458" s="8"/>
    </row>
    <row r="459" spans="1:12" x14ac:dyDescent="0.3">
      <c r="A459" s="9"/>
      <c r="B459" s="17"/>
      <c r="C459" s="17"/>
      <c r="D459" s="17"/>
      <c r="E459" s="17"/>
      <c r="F459" s="17"/>
      <c r="G459" s="17"/>
      <c r="H459" s="17"/>
      <c r="I459" s="17"/>
      <c r="J459" s="18" t="str">
        <f t="shared" si="14"/>
        <v/>
      </c>
      <c r="K459" s="11">
        <f t="shared" si="15"/>
        <v>0</v>
      </c>
      <c r="L459" s="8"/>
    </row>
    <row r="460" spans="1:12" x14ac:dyDescent="0.3">
      <c r="A460" s="9"/>
      <c r="B460" s="17"/>
      <c r="C460" s="17"/>
      <c r="D460" s="17"/>
      <c r="E460" s="17"/>
      <c r="F460" s="17"/>
      <c r="G460" s="17"/>
      <c r="H460" s="17"/>
      <c r="I460" s="17"/>
      <c r="J460" s="18" t="str">
        <f t="shared" si="14"/>
        <v/>
      </c>
      <c r="K460" s="11">
        <f t="shared" si="15"/>
        <v>0</v>
      </c>
      <c r="L460" s="8"/>
    </row>
    <row r="461" spans="1:12" x14ac:dyDescent="0.3">
      <c r="A461" s="9"/>
      <c r="B461" s="17"/>
      <c r="C461" s="17"/>
      <c r="D461" s="17"/>
      <c r="E461" s="17"/>
      <c r="F461" s="17"/>
      <c r="G461" s="17"/>
      <c r="H461" s="17"/>
      <c r="I461" s="17"/>
      <c r="J461" s="18" t="str">
        <f t="shared" si="14"/>
        <v/>
      </c>
      <c r="K461" s="11">
        <f t="shared" si="15"/>
        <v>0</v>
      </c>
      <c r="L461" s="8"/>
    </row>
    <row r="462" spans="1:12" x14ac:dyDescent="0.3">
      <c r="A462" s="9"/>
      <c r="B462" s="17"/>
      <c r="C462" s="17"/>
      <c r="D462" s="17"/>
      <c r="E462" s="17"/>
      <c r="F462" s="17"/>
      <c r="G462" s="17"/>
      <c r="H462" s="17"/>
      <c r="I462" s="17"/>
      <c r="J462" s="18" t="str">
        <f t="shared" si="14"/>
        <v/>
      </c>
      <c r="K462" s="11">
        <f t="shared" si="15"/>
        <v>0</v>
      </c>
      <c r="L462" s="8"/>
    </row>
    <row r="463" spans="1:12" x14ac:dyDescent="0.3">
      <c r="A463" s="9"/>
      <c r="B463" s="17"/>
      <c r="C463" s="17"/>
      <c r="D463" s="17"/>
      <c r="E463" s="17"/>
      <c r="F463" s="17"/>
      <c r="G463" s="17"/>
      <c r="H463" s="17"/>
      <c r="I463" s="17"/>
      <c r="J463" s="18" t="str">
        <f t="shared" si="14"/>
        <v/>
      </c>
      <c r="K463" s="11">
        <f t="shared" si="15"/>
        <v>0</v>
      </c>
      <c r="L463" s="8"/>
    </row>
    <row r="464" spans="1:12" x14ac:dyDescent="0.3">
      <c r="A464" s="9"/>
      <c r="B464" s="17"/>
      <c r="C464" s="17"/>
      <c r="D464" s="17"/>
      <c r="E464" s="17"/>
      <c r="F464" s="17"/>
      <c r="G464" s="17"/>
      <c r="H464" s="17"/>
      <c r="I464" s="17"/>
      <c r="J464" s="18" t="str">
        <f t="shared" si="14"/>
        <v/>
      </c>
      <c r="K464" s="11">
        <f t="shared" si="15"/>
        <v>0</v>
      </c>
      <c r="L464" s="8"/>
    </row>
    <row r="465" spans="1:12" x14ac:dyDescent="0.3">
      <c r="A465" s="9"/>
      <c r="B465" s="17"/>
      <c r="C465" s="17"/>
      <c r="D465" s="17"/>
      <c r="E465" s="17"/>
      <c r="F465" s="17"/>
      <c r="G465" s="17"/>
      <c r="H465" s="17"/>
      <c r="I465" s="17"/>
      <c r="J465" s="18" t="str">
        <f t="shared" si="14"/>
        <v/>
      </c>
      <c r="K465" s="11">
        <f t="shared" si="15"/>
        <v>0</v>
      </c>
      <c r="L465" s="8"/>
    </row>
    <row r="466" spans="1:12" x14ac:dyDescent="0.3">
      <c r="A466" s="9"/>
      <c r="B466" s="17"/>
      <c r="C466" s="17"/>
      <c r="D466" s="17"/>
      <c r="E466" s="17"/>
      <c r="F466" s="17"/>
      <c r="G466" s="17"/>
      <c r="H466" s="17"/>
      <c r="I466" s="17"/>
      <c r="J466" s="18" t="str">
        <f t="shared" si="14"/>
        <v/>
      </c>
      <c r="K466" s="11">
        <f t="shared" si="15"/>
        <v>0</v>
      </c>
      <c r="L466" s="8"/>
    </row>
    <row r="467" spans="1:12" x14ac:dyDescent="0.3">
      <c r="A467" s="9"/>
      <c r="B467" s="17"/>
      <c r="C467" s="17"/>
      <c r="D467" s="17"/>
      <c r="E467" s="17"/>
      <c r="F467" s="17"/>
      <c r="G467" s="17"/>
      <c r="H467" s="17"/>
      <c r="I467" s="17"/>
      <c r="J467" s="18" t="str">
        <f t="shared" si="14"/>
        <v/>
      </c>
      <c r="K467" s="11">
        <f t="shared" si="15"/>
        <v>0</v>
      </c>
      <c r="L467" s="8"/>
    </row>
    <row r="468" spans="1:12" x14ac:dyDescent="0.3">
      <c r="A468" s="9"/>
      <c r="B468" s="17"/>
      <c r="C468" s="17"/>
      <c r="D468" s="17"/>
      <c r="E468" s="17"/>
      <c r="F468" s="17"/>
      <c r="G468" s="17"/>
      <c r="H468" s="17"/>
      <c r="I468" s="17"/>
      <c r="J468" s="18" t="str">
        <f t="shared" si="14"/>
        <v/>
      </c>
      <c r="K468" s="11">
        <f t="shared" si="15"/>
        <v>0</v>
      </c>
      <c r="L468" s="8"/>
    </row>
    <row r="469" spans="1:12" x14ac:dyDescent="0.3">
      <c r="A469" s="9"/>
      <c r="B469" s="17"/>
      <c r="C469" s="17"/>
      <c r="D469" s="17"/>
      <c r="E469" s="17"/>
      <c r="F469" s="17"/>
      <c r="G469" s="17"/>
      <c r="H469" s="17"/>
      <c r="I469" s="17"/>
      <c r="J469" s="18" t="str">
        <f t="shared" si="14"/>
        <v/>
      </c>
      <c r="K469" s="11">
        <f t="shared" si="15"/>
        <v>0</v>
      </c>
      <c r="L469" s="8"/>
    </row>
    <row r="470" spans="1:12" x14ac:dyDescent="0.3">
      <c r="A470" s="9"/>
      <c r="B470" s="17"/>
      <c r="C470" s="17"/>
      <c r="D470" s="17"/>
      <c r="E470" s="17"/>
      <c r="F470" s="17"/>
      <c r="G470" s="17"/>
      <c r="H470" s="17"/>
      <c r="I470" s="17"/>
      <c r="J470" s="18" t="str">
        <f t="shared" si="14"/>
        <v/>
      </c>
      <c r="K470" s="11">
        <f t="shared" si="15"/>
        <v>0</v>
      </c>
      <c r="L470" s="8"/>
    </row>
    <row r="471" spans="1:12" x14ac:dyDescent="0.3">
      <c r="A471" s="9"/>
      <c r="B471" s="17"/>
      <c r="C471" s="17"/>
      <c r="D471" s="17"/>
      <c r="E471" s="17"/>
      <c r="F471" s="17"/>
      <c r="G471" s="17"/>
      <c r="H471" s="17"/>
      <c r="I471" s="17"/>
      <c r="J471" s="18" t="str">
        <f t="shared" si="14"/>
        <v/>
      </c>
      <c r="K471" s="11">
        <f t="shared" si="15"/>
        <v>0</v>
      </c>
      <c r="L471" s="8"/>
    </row>
    <row r="472" spans="1:12" x14ac:dyDescent="0.3">
      <c r="A472" s="9"/>
      <c r="B472" s="17"/>
      <c r="C472" s="17"/>
      <c r="D472" s="17"/>
      <c r="E472" s="17"/>
      <c r="F472" s="17"/>
      <c r="G472" s="17"/>
      <c r="H472" s="17"/>
      <c r="I472" s="17"/>
      <c r="J472" s="18" t="str">
        <f t="shared" si="14"/>
        <v/>
      </c>
      <c r="K472" s="11">
        <f t="shared" si="15"/>
        <v>0</v>
      </c>
      <c r="L472" s="8"/>
    </row>
    <row r="473" spans="1:12" x14ac:dyDescent="0.3">
      <c r="A473" s="9"/>
      <c r="B473" s="17"/>
      <c r="C473" s="17"/>
      <c r="D473" s="17"/>
      <c r="E473" s="17"/>
      <c r="F473" s="17"/>
      <c r="G473" s="17"/>
      <c r="H473" s="17"/>
      <c r="I473" s="17"/>
      <c r="J473" s="18" t="str">
        <f t="shared" si="14"/>
        <v/>
      </c>
      <c r="K473" s="11">
        <f t="shared" si="15"/>
        <v>0</v>
      </c>
      <c r="L473" s="8"/>
    </row>
    <row r="474" spans="1:12" x14ac:dyDescent="0.3">
      <c r="A474" s="9"/>
      <c r="B474" s="17"/>
      <c r="C474" s="17"/>
      <c r="D474" s="17"/>
      <c r="E474" s="17"/>
      <c r="F474" s="17"/>
      <c r="G474" s="17"/>
      <c r="H474" s="17"/>
      <c r="I474" s="17"/>
      <c r="J474" s="18" t="str">
        <f t="shared" si="14"/>
        <v/>
      </c>
      <c r="K474" s="11">
        <f t="shared" si="15"/>
        <v>0</v>
      </c>
      <c r="L474" s="8"/>
    </row>
    <row r="475" spans="1:12" x14ac:dyDescent="0.3">
      <c r="A475" s="9"/>
      <c r="B475" s="17"/>
      <c r="C475" s="17"/>
      <c r="D475" s="17"/>
      <c r="E475" s="17"/>
      <c r="F475" s="17"/>
      <c r="G475" s="17"/>
      <c r="H475" s="17"/>
      <c r="I475" s="17"/>
      <c r="J475" s="18" t="str">
        <f t="shared" si="14"/>
        <v/>
      </c>
      <c r="K475" s="11">
        <f t="shared" si="15"/>
        <v>0</v>
      </c>
      <c r="L475" s="8"/>
    </row>
    <row r="476" spans="1:12" x14ac:dyDescent="0.3">
      <c r="A476" s="9"/>
      <c r="B476" s="17"/>
      <c r="C476" s="17"/>
      <c r="D476" s="17"/>
      <c r="E476" s="17"/>
      <c r="F476" s="17"/>
      <c r="G476" s="17"/>
      <c r="H476" s="17"/>
      <c r="I476" s="17"/>
      <c r="J476" s="18" t="str">
        <f t="shared" si="14"/>
        <v/>
      </c>
      <c r="K476" s="11">
        <f t="shared" si="15"/>
        <v>0</v>
      </c>
      <c r="L476" s="8"/>
    </row>
    <row r="477" spans="1:12" x14ac:dyDescent="0.3">
      <c r="A477" s="9"/>
      <c r="B477" s="17"/>
      <c r="C477" s="17"/>
      <c r="D477" s="17"/>
      <c r="E477" s="17"/>
      <c r="F477" s="17"/>
      <c r="G477" s="17"/>
      <c r="H477" s="17"/>
      <c r="I477" s="17"/>
      <c r="J477" s="18" t="str">
        <f t="shared" si="14"/>
        <v/>
      </c>
      <c r="K477" s="11">
        <f t="shared" si="15"/>
        <v>0</v>
      </c>
      <c r="L477" s="8"/>
    </row>
    <row r="478" spans="1:12" x14ac:dyDescent="0.3">
      <c r="A478" s="9"/>
      <c r="B478" s="17"/>
      <c r="C478" s="17"/>
      <c r="D478" s="17"/>
      <c r="E478" s="17"/>
      <c r="F478" s="17"/>
      <c r="G478" s="17"/>
      <c r="H478" s="17"/>
      <c r="I478" s="17"/>
      <c r="J478" s="18" t="str">
        <f t="shared" si="14"/>
        <v/>
      </c>
      <c r="K478" s="11">
        <f t="shared" si="15"/>
        <v>0</v>
      </c>
      <c r="L478" s="8"/>
    </row>
    <row r="479" spans="1:12" x14ac:dyDescent="0.3">
      <c r="A479" s="9"/>
      <c r="B479" s="17"/>
      <c r="C479" s="17"/>
      <c r="D479" s="17"/>
      <c r="E479" s="17"/>
      <c r="F479" s="17"/>
      <c r="G479" s="17"/>
      <c r="H479" s="17"/>
      <c r="I479" s="17"/>
      <c r="J479" s="18" t="str">
        <f t="shared" si="14"/>
        <v/>
      </c>
      <c r="K479" s="11">
        <f t="shared" si="15"/>
        <v>0</v>
      </c>
      <c r="L479" s="8"/>
    </row>
    <row r="480" spans="1:12" x14ac:dyDescent="0.3">
      <c r="A480" s="9"/>
      <c r="B480" s="17"/>
      <c r="C480" s="17"/>
      <c r="D480" s="17"/>
      <c r="E480" s="17"/>
      <c r="F480" s="17"/>
      <c r="G480" s="17"/>
      <c r="H480" s="17"/>
      <c r="I480" s="17"/>
      <c r="J480" s="18" t="str">
        <f t="shared" si="14"/>
        <v/>
      </c>
      <c r="K480" s="11">
        <f t="shared" si="15"/>
        <v>0</v>
      </c>
      <c r="L480" s="8"/>
    </row>
    <row r="481" spans="1:12" x14ac:dyDescent="0.3">
      <c r="A481" s="9"/>
      <c r="B481" s="17"/>
      <c r="C481" s="17"/>
      <c r="D481" s="17"/>
      <c r="E481" s="17"/>
      <c r="F481" s="17"/>
      <c r="G481" s="17"/>
      <c r="H481" s="17"/>
      <c r="I481" s="17"/>
      <c r="J481" s="18" t="str">
        <f t="shared" si="14"/>
        <v/>
      </c>
      <c r="K481" s="11">
        <f t="shared" si="15"/>
        <v>0</v>
      </c>
      <c r="L481" s="8"/>
    </row>
    <row r="482" spans="1:12" x14ac:dyDescent="0.3">
      <c r="A482" s="9"/>
      <c r="B482" s="17"/>
      <c r="C482" s="17"/>
      <c r="D482" s="17"/>
      <c r="E482" s="17"/>
      <c r="F482" s="17"/>
      <c r="G482" s="17"/>
      <c r="H482" s="17"/>
      <c r="I482" s="17"/>
      <c r="J482" s="18" t="str">
        <f t="shared" si="14"/>
        <v/>
      </c>
      <c r="K482" s="11">
        <f t="shared" si="15"/>
        <v>0</v>
      </c>
      <c r="L482" s="8"/>
    </row>
    <row r="483" spans="1:12" x14ac:dyDescent="0.3">
      <c r="A483" s="9"/>
      <c r="B483" s="17"/>
      <c r="C483" s="17"/>
      <c r="D483" s="17"/>
      <c r="E483" s="17"/>
      <c r="F483" s="17"/>
      <c r="G483" s="17"/>
      <c r="H483" s="17"/>
      <c r="I483" s="17"/>
      <c r="J483" s="18" t="str">
        <f t="shared" si="14"/>
        <v/>
      </c>
      <c r="K483" s="11">
        <f t="shared" si="15"/>
        <v>0</v>
      </c>
      <c r="L483" s="8"/>
    </row>
    <row r="484" spans="1:12" x14ac:dyDescent="0.3">
      <c r="A484" s="9"/>
      <c r="B484" s="17"/>
      <c r="C484" s="17"/>
      <c r="D484" s="17"/>
      <c r="E484" s="17"/>
      <c r="F484" s="17"/>
      <c r="G484" s="17"/>
      <c r="H484" s="17"/>
      <c r="I484" s="17"/>
      <c r="J484" s="18" t="str">
        <f t="shared" si="14"/>
        <v/>
      </c>
      <c r="K484" s="11">
        <f t="shared" si="15"/>
        <v>0</v>
      </c>
      <c r="L484" s="8"/>
    </row>
    <row r="485" spans="1:12" x14ac:dyDescent="0.3">
      <c r="A485" s="9"/>
      <c r="B485" s="17"/>
      <c r="C485" s="17"/>
      <c r="D485" s="17"/>
      <c r="E485" s="17"/>
      <c r="F485" s="17"/>
      <c r="G485" s="17"/>
      <c r="H485" s="17"/>
      <c r="I485" s="17"/>
      <c r="J485" s="18" t="str">
        <f t="shared" si="14"/>
        <v/>
      </c>
      <c r="K485" s="11">
        <f t="shared" si="15"/>
        <v>0</v>
      </c>
      <c r="L485" s="8"/>
    </row>
    <row r="486" spans="1:12" x14ac:dyDescent="0.3">
      <c r="A486" s="9"/>
      <c r="B486" s="17"/>
      <c r="C486" s="17"/>
      <c r="D486" s="17"/>
      <c r="E486" s="17"/>
      <c r="F486" s="17"/>
      <c r="G486" s="17"/>
      <c r="H486" s="17"/>
      <c r="I486" s="17"/>
      <c r="J486" s="18" t="str">
        <f t="shared" si="14"/>
        <v/>
      </c>
      <c r="K486" s="11">
        <f t="shared" si="15"/>
        <v>0</v>
      </c>
      <c r="L486" s="8"/>
    </row>
    <row r="487" spans="1:12" x14ac:dyDescent="0.3">
      <c r="A487" s="9"/>
      <c r="B487" s="17"/>
      <c r="C487" s="17"/>
      <c r="D487" s="17"/>
      <c r="E487" s="17"/>
      <c r="F487" s="17"/>
      <c r="G487" s="17"/>
      <c r="H487" s="17"/>
      <c r="I487" s="17"/>
      <c r="J487" s="18" t="str">
        <f t="shared" si="14"/>
        <v/>
      </c>
      <c r="K487" s="11">
        <f t="shared" si="15"/>
        <v>0</v>
      </c>
      <c r="L487" s="8"/>
    </row>
    <row r="488" spans="1:12" x14ac:dyDescent="0.3">
      <c r="A488" s="9"/>
      <c r="B488" s="17"/>
      <c r="C488" s="17"/>
      <c r="D488" s="17"/>
      <c r="E488" s="17"/>
      <c r="F488" s="17"/>
      <c r="G488" s="17"/>
      <c r="H488" s="17"/>
      <c r="I488" s="17"/>
      <c r="J488" s="18" t="str">
        <f t="shared" si="14"/>
        <v/>
      </c>
      <c r="K488" s="11">
        <f t="shared" si="15"/>
        <v>0</v>
      </c>
      <c r="L488" s="8"/>
    </row>
    <row r="489" spans="1:12" x14ac:dyDescent="0.3">
      <c r="A489" s="9"/>
      <c r="B489" s="17"/>
      <c r="C489" s="17"/>
      <c r="D489" s="17"/>
      <c r="E489" s="17"/>
      <c r="F489" s="17"/>
      <c r="G489" s="17"/>
      <c r="H489" s="17"/>
      <c r="I489" s="17"/>
      <c r="J489" s="18" t="str">
        <f t="shared" si="14"/>
        <v/>
      </c>
      <c r="K489" s="11">
        <f t="shared" si="15"/>
        <v>0</v>
      </c>
      <c r="L489" s="8"/>
    </row>
    <row r="490" spans="1:12" x14ac:dyDescent="0.3">
      <c r="A490" s="9"/>
      <c r="B490" s="17"/>
      <c r="C490" s="17"/>
      <c r="D490" s="17"/>
      <c r="E490" s="17"/>
      <c r="F490" s="17"/>
      <c r="G490" s="17"/>
      <c r="H490" s="17"/>
      <c r="I490" s="17"/>
      <c r="J490" s="18" t="str">
        <f t="shared" si="14"/>
        <v/>
      </c>
      <c r="K490" s="11">
        <f t="shared" si="15"/>
        <v>0</v>
      </c>
      <c r="L490" s="8"/>
    </row>
    <row r="491" spans="1:12" x14ac:dyDescent="0.3">
      <c r="A491" s="9"/>
      <c r="B491" s="17"/>
      <c r="C491" s="17"/>
      <c r="D491" s="17"/>
      <c r="E491" s="17"/>
      <c r="F491" s="17"/>
      <c r="G491" s="17"/>
      <c r="H491" s="17"/>
      <c r="I491" s="17"/>
      <c r="J491" s="18" t="str">
        <f t="shared" si="14"/>
        <v/>
      </c>
      <c r="K491" s="11">
        <f t="shared" si="15"/>
        <v>0</v>
      </c>
      <c r="L491" s="8"/>
    </row>
    <row r="492" spans="1:12" x14ac:dyDescent="0.3">
      <c r="A492" s="9"/>
      <c r="B492" s="17"/>
      <c r="C492" s="17"/>
      <c r="D492" s="17"/>
      <c r="E492" s="17"/>
      <c r="F492" s="17"/>
      <c r="G492" s="17"/>
      <c r="H492" s="17"/>
      <c r="I492" s="17"/>
      <c r="J492" s="18" t="str">
        <f t="shared" si="14"/>
        <v/>
      </c>
      <c r="K492" s="11">
        <f t="shared" si="15"/>
        <v>0</v>
      </c>
      <c r="L492" s="8"/>
    </row>
    <row r="493" spans="1:12" x14ac:dyDescent="0.3">
      <c r="A493" s="9"/>
      <c r="B493" s="17"/>
      <c r="C493" s="17"/>
      <c r="D493" s="17"/>
      <c r="E493" s="17"/>
      <c r="F493" s="17"/>
      <c r="G493" s="17"/>
      <c r="H493" s="17"/>
      <c r="I493" s="17"/>
      <c r="J493" s="18" t="str">
        <f t="shared" si="14"/>
        <v/>
      </c>
      <c r="K493" s="11">
        <f t="shared" si="15"/>
        <v>0</v>
      </c>
      <c r="L493" s="8"/>
    </row>
    <row r="494" spans="1:12" x14ac:dyDescent="0.3">
      <c r="A494" s="9"/>
      <c r="B494" s="17"/>
      <c r="C494" s="17"/>
      <c r="D494" s="17"/>
      <c r="E494" s="17"/>
      <c r="F494" s="17"/>
      <c r="G494" s="17"/>
      <c r="H494" s="17"/>
      <c r="I494" s="17"/>
      <c r="J494" s="18" t="str">
        <f t="shared" si="14"/>
        <v/>
      </c>
      <c r="K494" s="11">
        <f t="shared" si="15"/>
        <v>0</v>
      </c>
      <c r="L494" s="8"/>
    </row>
    <row r="495" spans="1:12" x14ac:dyDescent="0.3">
      <c r="A495" s="9"/>
      <c r="B495" s="17"/>
      <c r="C495" s="17"/>
      <c r="D495" s="17"/>
      <c r="E495" s="17"/>
      <c r="F495" s="17"/>
      <c r="G495" s="17"/>
      <c r="H495" s="17"/>
      <c r="I495" s="17"/>
      <c r="J495" s="18" t="str">
        <f t="shared" si="14"/>
        <v/>
      </c>
      <c r="K495" s="11">
        <f t="shared" si="15"/>
        <v>0</v>
      </c>
      <c r="L495" s="8"/>
    </row>
    <row r="496" spans="1:12" x14ac:dyDescent="0.3">
      <c r="A496" s="9"/>
      <c r="B496" s="17"/>
      <c r="C496" s="17"/>
      <c r="D496" s="17"/>
      <c r="E496" s="17"/>
      <c r="F496" s="17"/>
      <c r="G496" s="17"/>
      <c r="H496" s="17"/>
      <c r="I496" s="17"/>
      <c r="J496" s="18" t="str">
        <f t="shared" si="14"/>
        <v/>
      </c>
      <c r="K496" s="11">
        <f t="shared" si="15"/>
        <v>0</v>
      </c>
      <c r="L496" s="8"/>
    </row>
    <row r="497" spans="1:12" x14ac:dyDescent="0.3">
      <c r="A497" s="9"/>
      <c r="B497" s="17"/>
      <c r="C497" s="17"/>
      <c r="D497" s="17"/>
      <c r="E497" s="17"/>
      <c r="F497" s="17"/>
      <c r="G497" s="17"/>
      <c r="H497" s="17"/>
      <c r="I497" s="17"/>
      <c r="J497" s="18" t="str">
        <f t="shared" si="14"/>
        <v/>
      </c>
      <c r="K497" s="11">
        <f t="shared" si="15"/>
        <v>0</v>
      </c>
      <c r="L497" s="8"/>
    </row>
    <row r="498" spans="1:12" x14ac:dyDescent="0.3">
      <c r="A498" s="9"/>
      <c r="B498" s="17"/>
      <c r="C498" s="17"/>
      <c r="D498" s="17"/>
      <c r="E498" s="17"/>
      <c r="F498" s="17"/>
      <c r="G498" s="17"/>
      <c r="H498" s="17"/>
      <c r="I498" s="17"/>
      <c r="J498" s="18" t="str">
        <f t="shared" si="14"/>
        <v/>
      </c>
      <c r="K498" s="11">
        <f t="shared" si="15"/>
        <v>0</v>
      </c>
      <c r="L498" s="8"/>
    </row>
    <row r="499" spans="1:12" x14ac:dyDescent="0.3">
      <c r="A499" s="9"/>
      <c r="B499" s="17"/>
      <c r="C499" s="17"/>
      <c r="D499" s="17"/>
      <c r="E499" s="17"/>
      <c r="F499" s="17"/>
      <c r="G499" s="17"/>
      <c r="H499" s="17"/>
      <c r="I499" s="17"/>
      <c r="J499" s="18" t="str">
        <f t="shared" si="14"/>
        <v/>
      </c>
      <c r="K499" s="11">
        <f t="shared" si="15"/>
        <v>0</v>
      </c>
      <c r="L499" s="8"/>
    </row>
    <row r="500" spans="1:12" x14ac:dyDescent="0.3">
      <c r="A500" s="9"/>
      <c r="B500" s="17"/>
      <c r="C500" s="17"/>
      <c r="D500" s="17"/>
      <c r="E500" s="17"/>
      <c r="F500" s="17"/>
      <c r="G500" s="17"/>
      <c r="H500" s="17"/>
      <c r="I500" s="17"/>
      <c r="J500" s="18" t="str">
        <f t="shared" si="14"/>
        <v/>
      </c>
      <c r="K500" s="11">
        <f t="shared" si="15"/>
        <v>0</v>
      </c>
      <c r="L500" s="8"/>
    </row>
    <row r="501" spans="1:12" x14ac:dyDescent="0.3">
      <c r="A501" s="9"/>
      <c r="B501" s="17"/>
      <c r="C501" s="17"/>
      <c r="D501" s="17"/>
      <c r="E501" s="17"/>
      <c r="F501" s="17"/>
      <c r="G501" s="17"/>
      <c r="H501" s="17"/>
      <c r="I501" s="17"/>
      <c r="J501" s="18" t="str">
        <f t="shared" si="14"/>
        <v/>
      </c>
      <c r="K501" s="11">
        <f t="shared" si="15"/>
        <v>0</v>
      </c>
      <c r="L501" s="8"/>
    </row>
    <row r="502" spans="1:12" x14ac:dyDescent="0.3">
      <c r="A502" s="9"/>
      <c r="B502" s="17"/>
      <c r="C502" s="17"/>
      <c r="D502" s="17"/>
      <c r="E502" s="17"/>
      <c r="F502" s="17"/>
      <c r="G502" s="17"/>
      <c r="H502" s="17"/>
      <c r="I502" s="17"/>
      <c r="J502" s="18" t="str">
        <f t="shared" si="14"/>
        <v/>
      </c>
      <c r="K502" s="11">
        <f t="shared" si="15"/>
        <v>0</v>
      </c>
      <c r="L502" s="8"/>
    </row>
    <row r="503" spans="1:12" x14ac:dyDescent="0.3">
      <c r="A503" s="9"/>
      <c r="B503" s="17"/>
      <c r="C503" s="17"/>
      <c r="D503" s="17"/>
      <c r="E503" s="17"/>
      <c r="F503" s="17"/>
      <c r="G503" s="17"/>
      <c r="H503" s="17"/>
      <c r="I503" s="17"/>
      <c r="J503" s="18" t="str">
        <f t="shared" si="14"/>
        <v/>
      </c>
      <c r="K503" s="11">
        <f t="shared" si="15"/>
        <v>0</v>
      </c>
      <c r="L503" s="8"/>
    </row>
    <row r="504" spans="1:12" x14ac:dyDescent="0.3">
      <c r="A504" s="9"/>
      <c r="B504" s="17"/>
      <c r="C504" s="17"/>
      <c r="D504" s="17"/>
      <c r="E504" s="17"/>
      <c r="F504" s="17"/>
      <c r="G504" s="17"/>
      <c r="H504" s="17"/>
      <c r="I504" s="17"/>
      <c r="J504" s="18" t="str">
        <f t="shared" si="14"/>
        <v/>
      </c>
      <c r="K504" s="11">
        <f t="shared" si="15"/>
        <v>0</v>
      </c>
      <c r="L504" s="8"/>
    </row>
  </sheetData>
  <autoFilter ref="A4:L504" xr:uid="{00000000-0009-0000-0000-000009000000}"/>
  <mergeCells count="2">
    <mergeCell ref="A2:L2"/>
    <mergeCell ref="A1:L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Guía de uso</vt:lpstr>
      <vt:lpstr>Resumen</vt:lpstr>
      <vt:lpstr>Activos</vt:lpstr>
      <vt:lpstr>Aportes</vt:lpstr>
      <vt:lpstr>Transacciones</vt:lpstr>
      <vt:lpstr>Referidos</vt:lpstr>
      <vt:lpstr>Dividendos</vt:lpstr>
      <vt:lpstr>Precios</vt:lpstr>
      <vt:lpstr>Posiciones</vt:lpstr>
      <vt:lpstr>Rendimiento</vt:lpstr>
      <vt:lpstr>ListaActivos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Xavier Cobos</cp:lastModifiedBy>
  <dcterms:created xsi:type="dcterms:W3CDTF">2026-10-22T15:43:32Z</dcterms:created>
  <dcterms:modified xsi:type="dcterms:W3CDTF">2026-10-22T16:18:17Z</dcterms:modified>
</cp:coreProperties>
</file>